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 Daily (21-Mar-26) - 6GB\VSCode\Project\01. Payment Block\Desktop Files\RAP Conversion\"/>
    </mc:Choice>
  </mc:AlternateContent>
  <xr:revisionPtr revIDLastSave="0" documentId="13_ncr:1_{FC6BECCF-F06E-42EF-87CD-750B0EC68372}" xr6:coauthVersionLast="47" xr6:coauthVersionMax="47" xr10:uidLastSave="{00000000-0000-0000-0000-000000000000}"/>
  <bookViews>
    <workbookView xWindow="-120" yWindow="-120" windowWidth="24240" windowHeight="13020" activeTab="3" xr2:uid="{9C93B85F-C357-42EB-A221-D69E92FACD24}"/>
  </bookViews>
  <sheets>
    <sheet name="Z2A_T_PAY_BLOCK" sheetId="1" r:id="rId1"/>
    <sheet name="Sheet2" sheetId="5" r:id="rId2"/>
    <sheet name="ZCY_TAB_RRP_E" sheetId="2" r:id="rId3"/>
    <sheet name="RRP_E New" sheetId="6" r:id="rId4"/>
    <sheet name="Sheet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1" l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28" i="1"/>
  <c r="L105" i="1"/>
  <c r="M105" i="1" s="1"/>
  <c r="L102" i="1"/>
  <c r="M102" i="1" s="1"/>
  <c r="L103" i="1"/>
  <c r="M103" i="1" s="1"/>
  <c r="L101" i="1"/>
  <c r="M101" i="1" s="1"/>
  <c r="L99" i="1"/>
  <c r="M99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1" i="1"/>
  <c r="M91" i="1" s="1"/>
  <c r="L29" i="1"/>
  <c r="M29" i="1" s="1"/>
  <c r="L30" i="1"/>
  <c r="M30" i="1" s="1"/>
  <c r="L28" i="1"/>
  <c r="M28" i="1" s="1"/>
  <c r="L24" i="1"/>
  <c r="M24" i="1" s="1"/>
  <c r="L20" i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83" i="1"/>
  <c r="M83" i="1" s="1"/>
  <c r="L81" i="1"/>
  <c r="M81" i="1" s="1"/>
  <c r="L80" i="1"/>
  <c r="M80" i="1" s="1"/>
  <c r="L79" i="1"/>
  <c r="M79" i="1" s="1"/>
  <c r="L78" i="1"/>
  <c r="M78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54" i="1"/>
  <c r="M54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46" i="1"/>
  <c r="M46" i="1" s="1"/>
  <c r="L42" i="1"/>
  <c r="M42" i="1" s="1"/>
  <c r="L43" i="1"/>
  <c r="M43" i="1" s="1"/>
  <c r="L44" i="1"/>
  <c r="M44" i="1" s="1"/>
  <c r="L41" i="1"/>
  <c r="M41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L39" i="1"/>
  <c r="M39" i="1" s="1"/>
  <c r="L32" i="1"/>
  <c r="M32" i="1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4" i="4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9" i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9" i="2"/>
  <c r="M20" i="1" l="1"/>
  <c r="M38" i="1"/>
</calcChain>
</file>

<file path=xl/sharedStrings.xml><?xml version="1.0" encoding="utf-8"?>
<sst xmlns="http://schemas.openxmlformats.org/spreadsheetml/2006/main" count="1739" uniqueCount="1156">
  <si>
    <t>{</t>
  </si>
  <si>
    <t xml:space="preserve">      returnperiod    : zcy_det_returnperiod;</t>
  </si>
  <si>
    <t xml:space="preserve">      locationgstin   : zcy_det_locationgstin;</t>
  </si>
  <si>
    <t xml:space="preserve">      documentnumber  : zcy_det_documentnumber;</t>
  </si>
  <si>
    <t xml:space="preserve">      documentdate    : bldat;</t>
  </si>
  <si>
    <t xml:space="preserve">      financialyear   : zcy_det_financialyear;</t>
  </si>
  <si>
    <t>}</t>
  </si>
  <si>
    <t>@AbapCatalog.enhancement.category : #EXTENSIBLE_ANY</t>
  </si>
  <si>
    <t>@Semantics.amount.currencyCode : 'vbak.waerk'</t>
  </si>
  <si>
    <t>@Semantics.quantity.unitOfMeasure : 'vbap.zieme'</t>
  </si>
  <si>
    <t>filingreturnperiod             : zcy_det_filingreturnperiod**;**</t>
  </si>
  <si>
    <t>filingstatus                   : zcy_det_filingstatus**;**</t>
  </si>
  <si>
    <t>isservice                      : zcy_det_isservice**;**</t>
  </si>
  <si>
    <t>hsn                            : zcy_det_hsn**;**</t>
  </si>
  <si>
    <t>productcode                    : zcy_det_productcode**;**</t>
  </si>
  <si>
    <t>name                           : zcy_det_name**;**</t>
  </si>
  <si>
    <t>description                    : zcy_det_description**;**</t>
  </si>
  <si>
    <t>barcode                        : zcy_det_barcode**;**</t>
  </si>
  <si>
    <t>uqc                            : zcy_det_uqc**;**</t>
  </si>
  <si>
    <t>quantity                       : zcy_det_quantity**;**</t>
  </si>
  <si>
    <t>freequantity                   : zcy_det_freequantity**;**</t>
  </si>
  <si>
    <t>@Semantics.amount.currencyCode : 'rv61a.koei1'</t>
  </si>
  <si>
    <t>rate                           : zcy_det_rate**;**</t>
  </si>
  <si>
    <t>cessrate                       : zcy_det_cessrate**;**</t>
  </si>
  <si>
    <t>statecessrate                  : zcy_det_statecessrate**;**</t>
  </si>
  <si>
    <t>cessnonadvaloremrate           : zcy_det_cessnonadvaloremrate**;**</t>
  </si>
  <si>
    <t>priceperquantity               : zcy_det_priceperquantity**;**</t>
  </si>
  <si>
    <t>@Semantics.amount.currencyCode : 'komk.waerk'</t>
  </si>
  <si>
    <t>discountamount                 : zcy_det_discountamount**;**</t>
  </si>
  <si>
    <t>grossamount                    : zcy_det_grossamount**;**</t>
  </si>
  <si>
    <t>othercharges                   : zcy_det_othercharges**;**</t>
  </si>
  <si>
    <t>taxablevalue                   : zcy_det_taxablevalue**;**</t>
  </si>
  <si>
    <t>igstamount                     : zcy_det_igstamount**;**</t>
  </si>
  <si>
    <t>cgstamount                     : zcy_det_cgstamount**;**</t>
  </si>
  <si>
    <t>sgstamount                     : zcy_det_sgstamount**;**</t>
  </si>
  <si>
    <t>cessamount                     : zcy_det_cessamount**;**</t>
  </si>
  <si>
    <t>statecessamount                : zcy_det_statecessamount**;**</t>
  </si>
  <si>
    <t>cessnonadvaloremamount         : zcy_det_cessnonadvaloremamount**;**</t>
  </si>
  <si>
    <t>statecessnonadvaloremamount    : zcy_det_statecessnonadvalorema**;**</t>
  </si>
  <si>
    <t>taxtype                        : zcy_det_taxtype**;**</t>
  </si>
  <si>
    <t>itceligibility                 : zcy_det_itceligibility**;**</t>
  </si>
  <si>
    <t>itcigstamount                  : zcy_det_itcigstamount**;**</t>
  </si>
  <si>
    <t>itccgstamount                  : zcy_det_itccgstamount**;**</t>
  </si>
  <si>
    <t>itcsgstamount                  : zcy_det_itcsgstamount**;**</t>
  </si>
  <si>
    <t>itccessamount                  : zcy_det_itccessamount**;**</t>
  </si>
  <si>
    <t>customitem1                    : zcy_det_customitem1**;**</t>
  </si>
  <si>
    <t>customitem2                    : zcy_det_customitem2**;**</t>
  </si>
  <si>
    <t>customitem3                    : zcy_det_customitem3**;**</t>
  </si>
  <si>
    <t>customitem4                    : zcy_det_customitem4**;**</t>
  </si>
  <si>
    <t>customitem5                    : zcy_det_customitem5**;**</t>
  </si>
  <si>
    <t>customitem6                    : zcy_det_customitem6**;**</t>
  </si>
  <si>
    <t>customitem7                    : zcy_det_customitem7**;**</t>
  </si>
  <si>
    <t>customitem8                    : zcy_det_customitem8**;**</t>
  </si>
  <si>
    <t>customitem9                    : zcy_det_customitem9**;**</t>
  </si>
  <si>
    <t>customitem10                   : zcy_det_customitem10**;**</t>
  </si>
  <si>
    <t>cpgstin                        : zcy_det_cpgstin**;**</t>
  </si>
  <si>
    <t>cptradename                    : zcy_det_cptradename**;**</t>
  </si>
  <si>
    <t>cplegalname                    : zcy_det_cplegalname**;**</t>
  </si>
  <si>
    <t>cporiginaldocumentnumber       : zcy_det_cporiginaldocumentnum**;**</t>
  </si>
  <si>
    <t>cporiginaldocumentdate         : zcy_det_cporiginaldocumentdate**;**</t>
  </si>
  <si>
    <t>cpportcode                     : zcy_det_cpportcode**;**</t>
  </si>
  <si>
    <t>cpdocumentnumber               : zcy_det_cpdocumentnumber**;**</t>
  </si>
  <si>
    <t>cpdocumentdate                 : zcy_det_cpdocumentdate**;**</t>
  </si>
  <si>
    <t>cpvalue                        : zcy_det_cpvalue**;**</t>
  </si>
  <si>
    <t>cppos                          : zcy_det_cppos**;**</t>
  </si>
  <si>
    <t>cpreversecharge                : zcy_det_cpreversecharge**;**</t>
  </si>
  <si>
    <t>cpdifferentialpercentage       : zcy_det_cpdifferentialpercent**;**</t>
  </si>
  <si>
    <t>cptransactiontype              : zcy_det_cptransactiontype**;**</t>
  </si>
  <si>
    <t>cptaxpayertype                 : zcy_det_cptaxpayertype**;**</t>
  </si>
  <si>
    <t>cptaxablevalue                 : zcy_det_cptaxablevalue**;**</t>
  </si>
  <si>
    <t>cprate                         : zcy_det_cprate**;**</t>
  </si>
  <si>
    <t>cpigstamount                   : zcy_det_cpigstamount**;**</t>
  </si>
  <si>
    <t>cpcgstamount                   : zcy_det_cpcgstamount**;**</t>
  </si>
  <si>
    <t>cpsgstamount                   : zcy_det_cpsgstamount**;**</t>
  </si>
  <si>
    <t>cpcessamount                   : zcy_det_cpcessamount**;**</t>
  </si>
  <si>
    <t>cpfilingstatus                 : zcy_det_cpfilingstatus**;**</t>
  </si>
  <si>
    <t>cpsuppliercancellationdate     : zcy_det_cpsuppliercancellation**;**</t>
  </si>
  <si>
    <t>cpfilingdate                   : zcy_det_cpfilingdate**;**</t>
  </si>
  <si>
    <t>cpfilingreturnperiod           : zcy_det_cpfilingreturnperiod**;**</t>
  </si>
  <si>
    <t>cpautodraftsource              : zcy_det_cpautodraftsource**;**</t>
  </si>
  <si>
    <t>cpirn                          : zcy_det_cpirn**;**</t>
  </si>
  <si>
    <t>cpirngenerationdate            : zcy_det_cpirngenerationdate**;**</t>
  </si>
  <si>
    <t>cprefprecedingdocumentdetails  : zcy_det_cprefprecedingdocument**;**</t>
  </si>
  <si>
    <t>cpavailableingstr2b            : zcy_det_cpavailableingstr2b**;**</t>
  </si>
  <si>
    <t>cpgstr2breturnperiod           : zcy_det_cpgstr2breturnperiod**;**</t>
  </si>
  <si>
    <t>cpavailableingstr98a           : zcy_det_cpavailableingstr98a**;**</t>
  </si>
  <si>
    <t>cpitcavailability              : zcy_det_cpitcavailability**;**</t>
  </si>
  <si>
    <t>cpitcunavailabilityreason      : zcy_det_cpitcunavailabilityrea**;**</t>
  </si>
  <si>
    <t>cpitcclaimmonth                : zcy_det_cpitcclaimmonth**;**</t>
  </si>
  <si>
    <t>cpreturnperiod                 : zcy_det_cpreturnperiod**;**</t>
  </si>
  <si>
    <t>cpisamendment                  : zcy_det_cpisamendment**;**</t>
  </si>
  <si>
    <t>cporiginalreturnperiod         : zcy_det_cporiginalreturnperiod**;**</t>
  </si>
  <si>
    <t>cpamendedtype                  : zcy_det_cpamendedtype**;**</t>
  </si>
  <si>
    <t>valuediff                      : zcy_det_valuediff**;**</t>
  </si>
  <si>
    <t>taxablediff                    : zcy_det_taxablediff**;**</t>
  </si>
  <si>
    <t>taxdiff                        : zcy_det_taxdiff**;**</t>
  </si>
  <si>
    <t>reason                         : zcy_det_reason**;**</t>
  </si>
  <si>
    <t>rec_date                       : datum**;**</t>
  </si>
  <si>
    <t>rec_time                       : uzeit**;**</t>
  </si>
  <si>
    <t xml:space="preserve">  split_rev_by            : zcy_det_split_rev_user;</t>
  </si>
  <si>
    <t xml:space="preserve">  jv_posted_on            : zcy_det_jv_date;</t>
  </si>
  <si>
    <t xml:space="preserve">  jv_posted_at            : zcy_det_jv_time;</t>
  </si>
  <si>
    <t xml:space="preserve">  jv_posted_by            : zcy_det_jv_user;</t>
  </si>
  <si>
    <t xml:space="preserve">  jv_comment              : zcy_det_jv_comment;</t>
  </si>
  <si>
    <t xml:space="preserve">  documenttype            : zcy_det_documenttype;</t>
  </si>
  <si>
    <t xml:space="preserve">  remark                  : zcyg_remarks;</t>
  </si>
  <si>
    <r>
      <t xml:space="preserve">@EndUserText.label : </t>
    </r>
    <r>
      <rPr>
        <sz val="10"/>
        <color rgb="FF0A3069"/>
        <rFont val="Consolas"/>
        <family val="3"/>
      </rPr>
      <t>'GSTR2A Payment Block Data.'</t>
    </r>
  </si>
  <si>
    <t>@AbapCatalog.tableCategory       : #TRANSPARENT</t>
  </si>
  <si>
    <t>@AbapCatalog.deliveryClass       : #A</t>
  </si>
  <si>
    <t>@AbapCatalog.dataMaintenance     : #RESTRICTED</t>
  </si>
  <si>
    <r>
      <t>define table</t>
    </r>
    <r>
      <rPr>
        <sz val="10"/>
        <color rgb="FF1F2328"/>
        <rFont val="Consolas"/>
        <family val="3"/>
      </rPr>
      <t xml:space="preserve"> z2a_t_pay_block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</si>
  <si>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mandt          : mandt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</si>
  <si>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custom1        : zcy_det_custom1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</si>
  <si>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custom4        : zcy_det_custom4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</si>
  <si>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custom9        : zcy_det_custom9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</si>
  <si>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     </t>
    </r>
    <r>
      <rPr>
        <sz val="10"/>
        <color rgb="FFCF222E"/>
        <rFont val="Consolas"/>
        <family val="3"/>
      </rPr>
      <t>currency</t>
    </r>
    <r>
      <rPr>
        <sz val="10"/>
        <color rgb="FF1F2328"/>
        <rFont val="Consolas"/>
        <family val="3"/>
      </rPr>
      <t xml:space="preserve">        : abap.cuky;</t>
    </r>
  </si>
  <si>
    <r>
      <t xml:space="preserve">      </t>
    </r>
    <r>
      <rPr>
        <sz val="10"/>
        <color rgb="FFCF222E"/>
        <rFont val="Consolas"/>
        <family val="3"/>
      </rPr>
      <t>include</t>
    </r>
    <r>
      <rPr>
        <sz val="10"/>
        <color rgb="FF1F2328"/>
        <rFont val="Consolas"/>
        <family val="3"/>
      </rPr>
      <t xml:space="preserve"> zcy_str_2a_pay_block_status;</t>
    </r>
  </si>
  <si>
    <t xml:space="preserve">  procstat               : icon_d;</t>
  </si>
  <si>
    <t xml:space="preserve">  cbox                   : checkbox;</t>
  </si>
  <si>
    <t xml:space="preserve">  reco_stat              : icon_d;</t>
  </si>
  <si>
    <t xml:space="preserve">  financialyear          : zcy_det_financialyear;</t>
  </si>
  <si>
    <t xml:space="preserve">  returnperiod           : zcy_det_returnperiod;</t>
  </si>
  <si>
    <t xml:space="preserve">  locationgstin          : zcy_det_locationgstin;</t>
  </si>
  <si>
    <t xml:space="preserve">  documentnumber         : zcy_det_documentnumber;</t>
  </si>
  <si>
    <t xml:space="preserve">  documentdate           : bldat;</t>
  </si>
  <si>
    <t xml:space="preserve">  custom1                : zcy_det_custom1;</t>
  </si>
  <si>
    <t xml:space="preserve">  custom4                : zcy_det_custom4;</t>
  </si>
  <si>
    <t xml:space="preserve">  custom9                : zcy_det_custom9;</t>
  </si>
  <si>
    <t xml:space="preserve">  documentvalue          : zcy_det_documentvalue;</t>
  </si>
  <si>
    <t xml:space="preserve">  pushstatus             : zcy_det_pushstatus;</t>
  </si>
  <si>
    <t xml:space="preserve">  pushdate               : zcy_det_pushdate;</t>
  </si>
  <si>
    <t xml:space="preserve">  reconciliationsection  : zcy_det_reconciliationsection;</t>
  </si>
  <si>
    <t xml:space="preserve">  reason                 : zcy_det_reason;</t>
  </si>
  <si>
    <t xml:space="preserve">  filingdate             : zcy_det_filingdate;</t>
  </si>
  <si>
    <t xml:space="preserve">  filingreturnperiod     : zcy_det_filingreturnperiod;</t>
  </si>
  <si>
    <t xml:space="preserve">  filingstatus           : zcy_det_filingstatus;</t>
  </si>
  <si>
    <t xml:space="preserve">  rate                   : zcy_det_rate;</t>
  </si>
  <si>
    <t xml:space="preserve">  taxablevalue           : zcy_det_taxablevalue;</t>
  </si>
  <si>
    <t xml:space="preserve">  igstamount             : zcy_det_igstamount;</t>
  </si>
  <si>
    <t xml:space="preserve">  cgstamount             : zcy_det_cgstamount;</t>
  </si>
  <si>
    <t xml:space="preserve">  sgstamount             : zcy_det_sgstamount;</t>
  </si>
  <si>
    <t xml:space="preserve">  totaltax               : hwste;</t>
  </si>
  <si>
    <t xml:space="preserve">  rec_date               : datum;</t>
  </si>
  <si>
    <t xml:space="preserve">  rec_time               : uzeit;</t>
  </si>
  <si>
    <t xml:space="preserve">  vendor_name            : name1_gp;</t>
  </si>
  <si>
    <t xml:space="preserve">  blart                  : blart;</t>
  </si>
  <si>
    <t xml:space="preserve">  qblock                  : char1;</t>
  </si>
  <si>
    <t xml:space="preserve">  preconciliationsection : char40;</t>
  </si>
  <si>
    <t xml:space="preserve">  cpgstin                : zcy_det_cpgstin;</t>
  </si>
  <si>
    <t xml:space="preserve">  cptradename            : zcy_det_cptradename;</t>
  </si>
  <si>
    <t xml:space="preserve">  cplegalname            : zcy_det_cplegalname;</t>
  </si>
  <si>
    <t xml:space="preserve">  cpdocumentnumber       : zcy_det_cpdocumentnumber;</t>
  </si>
  <si>
    <t xml:space="preserve">  cpdocumentdate         : zcy_det_cpdocumentdate;</t>
  </si>
  <si>
    <t xml:space="preserve">  cpvalue                : zcy_det_cpvalue;</t>
  </si>
  <si>
    <t xml:space="preserve">  cppos                  : zcy_det_cppos;</t>
  </si>
  <si>
    <t xml:space="preserve">  cpreversecharge        : zcy_det_cpreversecharge;</t>
  </si>
  <si>
    <t xml:space="preserve">  cptransactiontype      : zcy_det_cptransactiontype;</t>
  </si>
  <si>
    <t xml:space="preserve">  cptaxpayertype         : zcy_det_cptaxpayertype;</t>
  </si>
  <si>
    <t xml:space="preserve">  cptaxablevalue         : zcy_det_cptaxablevalue;</t>
  </si>
  <si>
    <t xml:space="preserve">  cprate                  : zcy_det_cprate;</t>
  </si>
  <si>
    <t xml:space="preserve">  cpigstamount           : zcy_det_cpigstamount;</t>
  </si>
  <si>
    <t xml:space="preserve">  cpcgstamount           : zcy_det_cpcgstamount;</t>
  </si>
  <si>
    <t xml:space="preserve">  cpsgstamount           : zcy_det_cpsgstamount;</t>
  </si>
  <si>
    <t xml:space="preserve">  cpcessamount           : zcy_det_cpcessamount;</t>
  </si>
  <si>
    <t xml:space="preserve">  cpfilingstatus         : zcy_det_cpfilingstatus;</t>
  </si>
  <si>
    <t xml:space="preserve">  cpfilingdate           : zcy_det_cpfilingdate;</t>
  </si>
  <si>
    <t xml:space="preserve">  cpfilingreturnperiod   : zcy_det_cpfilingreturnperiod;</t>
  </si>
  <si>
    <t xml:space="preserve">  isgstr3bfiled          : zcy_det_isgstr3bfiled;</t>
  </si>
  <si>
    <t xml:space="preserve">  isgstr3bfildate        : zcy_det_is3bfilingdate;</t>
  </si>
  <si>
    <t xml:space="preserve">  cpitcavailability      : zcy_det_cpitcavailability;</t>
  </si>
  <si>
    <t xml:space="preserve">  cpreturnperiod         : zcy_det_cpreturnperiod;</t>
  </si>
  <si>
    <t xml:space="preserve">  cpisamendment          : zcy_det_cpisamendment;</t>
  </si>
  <si>
    <t xml:space="preserve">  cpavailableingstr2b    : zcy_det_cpavailableingstr2b;</t>
  </si>
  <si>
    <t xml:space="preserve">  cpgstr2breturnperiod   : zcy_det_cpgstr2breturnperiod;</t>
  </si>
  <si>
    <t xml:space="preserve">  cpavailableingstr98a   : zcy_det_cpavailableingstr98a;</t>
  </si>
  <si>
    <t xml:space="preserve">  cpitcclaimmonth        : zcy_det_cpitcclaimmonth;</t>
  </si>
  <si>
    <t xml:space="preserve">  billfromlegalname      : zcy_det_billfromlegalname;</t>
  </si>
  <si>
    <t xml:space="preserve">  billfromtradename      : zcy_det_billfromtradename;</t>
  </si>
  <si>
    <t xml:space="preserve">  pos                    : zcy_det_pos;</t>
  </si>
  <si>
    <t xml:space="preserve">  reversecharge          : zcy_det_reversecharge;</t>
  </si>
  <si>
    <t xml:space="preserve">  transactiontype        : zcy_det_transactiontype;</t>
  </si>
  <si>
    <t xml:space="preserve">  taxpayertype           : zcy_det_taxpayertype;</t>
  </si>
  <si>
    <t xml:space="preserve">  cessamount             : zcy_det_cessamount;</t>
  </si>
  <si>
    <t xml:space="preserve">  isamendment            : zcy_det_isamendment;</t>
  </si>
  <si>
    <t xml:space="preserve">  custom2                : zcy_det_custom2;</t>
  </si>
  <si>
    <t xml:space="preserve">  custom3                : zcy_det_custom3;</t>
  </si>
  <si>
    <t xml:space="preserve">  custom5                : zcy_det_custom5;</t>
  </si>
  <si>
    <t xml:space="preserve">  custom6                : zcy_det_custom6;</t>
  </si>
  <si>
    <t xml:space="preserve">  custom7                : zcy_det_custom7;</t>
  </si>
  <si>
    <t xml:space="preserve">  custom8                : zcy_det_custom8;</t>
  </si>
  <si>
    <t xml:space="preserve">  custom10               : zcy_det_custom10;</t>
  </si>
  <si>
    <t xml:space="preserve">  hsn                    : zcy_det_hsn;</t>
  </si>
  <si>
    <t xml:space="preserve">  itceligibility         : zcy_det_itceligibility;</t>
  </si>
  <si>
    <t xml:space="preserve">  itcigstamount          : zcy_det_itcigstamount;</t>
  </si>
  <si>
    <t xml:space="preserve">  itccgstamount          : zcy_det_itccgstamount;</t>
  </si>
  <si>
    <t xml:space="preserve">  itcsgstamount          : zcy_det_itcsgstamount;</t>
  </si>
  <si>
    <t xml:space="preserve">  itccessamount          : zcy_det_itccessamount;</t>
  </si>
  <si>
    <t xml:space="preserve">  customitem3            : zcy_det_customitem3;</t>
  </si>
  <si>
    <t xml:space="preserve">  valuediff              : zcy_det_valuediff;</t>
  </si>
  <si>
    <t xml:space="preserve">  taxablediff            : zcy_det_taxablediff;</t>
  </si>
  <si>
    <t xml:space="preserve">  taxdiff                : zcy_det_taxdiff;</t>
  </si>
  <si>
    <t xml:space="preserve">  msme                   : zcy_msme;</t>
  </si>
  <si>
    <r>
      <t xml:space="preserve">@EndUserText.label : </t>
    </r>
    <r>
      <rPr>
        <sz val="10"/>
        <color rgb="FF0A3069"/>
        <rFont val="Consolas"/>
        <family val="3"/>
      </rPr>
      <t>'GSTR2A Payment Block Program - ALV Structure.'</t>
    </r>
  </si>
  <si>
    <r>
      <t>define structure</t>
    </r>
    <r>
      <rPr>
        <sz val="10"/>
        <color rgb="FF1F2328"/>
        <rFont val="Consolas"/>
        <family val="3"/>
      </rPr>
      <t xml:space="preserve"> zcy_str_2a_pay_block</t>
    </r>
  </si>
  <si>
    <r>
      <t xml:space="preserve">  @Semantics.amount.currencyCode : </t>
    </r>
    <r>
      <rPr>
        <sz val="10"/>
        <color rgb="FF0A3069"/>
        <rFont val="Consolas"/>
        <family val="3"/>
      </rPr>
      <t>'vbak.waerk'</t>
    </r>
  </si>
  <si>
    <r>
      <t xml:space="preserve">  </t>
    </r>
    <r>
      <rPr>
        <sz val="10"/>
        <color rgb="FFCF222E"/>
        <rFont val="Consolas"/>
        <family val="3"/>
      </rPr>
      <t>include</t>
    </r>
    <r>
      <rPr>
        <sz val="10"/>
        <color rgb="FF1F2328"/>
        <rFont val="Consolas"/>
        <family val="3"/>
      </rPr>
      <t xml:space="preserve"> zcy_str_2a_pay_block_status;</t>
    </r>
  </si>
  <si>
    <r>
      <t xml:space="preserve">  @EndUserText.label : </t>
    </r>
    <r>
      <rPr>
        <sz val="10"/>
        <color rgb="FF0A3069"/>
        <rFont val="Consolas"/>
        <family val="3"/>
      </rPr>
      <t>'Docuemnt Processing Status Description'</t>
    </r>
  </si>
  <si>
    <r>
      <t xml:space="preserve">  status_desc            : abap.char(</t>
    </r>
    <r>
      <rPr>
        <sz val="10"/>
        <color rgb="FF0550AE"/>
        <rFont val="Consolas"/>
        <family val="3"/>
      </rPr>
      <t>50</t>
    </r>
    <r>
      <rPr>
        <sz val="10"/>
        <color rgb="FF1F2328"/>
        <rFont val="Consolas"/>
        <family val="3"/>
      </rPr>
      <t>);</t>
    </r>
  </si>
  <si>
    <r>
      <t xml:space="preserve">  @EndUserText.label : </t>
    </r>
    <r>
      <rPr>
        <sz val="10"/>
        <color rgb="FF0A3069"/>
        <rFont val="Consolas"/>
        <family val="3"/>
      </rPr>
      <t>'Vendor Block Type Description'</t>
    </r>
  </si>
  <si>
    <r>
      <t xml:space="preserve">  block_type_desc        : abap.char(</t>
    </r>
    <r>
      <rPr>
        <sz val="10"/>
        <color rgb="FF0550AE"/>
        <rFont val="Consolas"/>
        <family val="3"/>
      </rPr>
      <t>50</t>
    </r>
    <r>
      <rPr>
        <sz val="10"/>
        <color rgb="FF1F2328"/>
        <rFont val="Consolas"/>
        <family val="3"/>
      </rPr>
      <t>);</t>
    </r>
  </si>
  <si>
    <r>
      <t xml:space="preserve">  @Semantics.amount.currencyCode : </t>
    </r>
    <r>
      <rPr>
        <sz val="10"/>
        <color rgb="FF0A3069"/>
        <rFont val="Consolas"/>
        <family val="3"/>
      </rPr>
      <t>'komk.waerk'</t>
    </r>
  </si>
  <si>
    <r>
      <t xml:space="preserve">@EndUserText.label : </t>
    </r>
    <r>
      <rPr>
        <sz val="10"/>
        <color rgb="FF0A3069"/>
        <rFont val="Consolas"/>
        <family val="3"/>
      </rPr>
      <t>'Status fields for GSTR2A based payment block program'</t>
    </r>
  </si>
  <si>
    <r>
      <t>define structure</t>
    </r>
    <r>
      <rPr>
        <sz val="10"/>
        <color rgb="FF1F2328"/>
        <rFont val="Consolas"/>
        <family val="3"/>
      </rPr>
      <t xml:space="preserve"> zcy_str_2a_pay_block_status {</t>
    </r>
  </si>
  <si>
    <t xml:space="preserve">  fi_doc_value           : dmbtr;</t>
  </si>
  <si>
    <t xml:space="preserve">  fi_tax_value           : hwste;</t>
  </si>
  <si>
    <t xml:space="preserve">  fi_tax_code             : mwskz;</t>
  </si>
  <si>
    <t xml:space="preserve">  fi_tax_rate             : kbetr;</t>
  </si>
  <si>
    <t xml:space="preserve">  status                  : zcy_det_2a_pay_block_status;</t>
  </si>
  <si>
    <t xml:space="preserve">  gst_part                : j_1ig_partner;</t>
  </si>
  <si>
    <t xml:space="preserve">  vendor                  : lifnr;</t>
  </si>
  <si>
    <t xml:space="preserve">  mindk                   : mindk;</t>
  </si>
  <si>
    <t xml:space="preserve">  vendor_block_type       : zcy_det_block_type;</t>
  </si>
  <si>
    <t xml:space="preserve">  payment_due_date        : faedt_fpos;</t>
  </si>
  <si>
    <t xml:space="preserve">  clearing_no             : augbl;</t>
  </si>
  <si>
    <t xml:space="preserve">  clearing_date           : augdt;</t>
  </si>
  <si>
    <t xml:space="preserve">  expected_filing_date    : zcy_det_exp_fil_date;</t>
  </si>
  <si>
    <t xml:space="preserve">  due_date_before_filing  : zcy_det_due_b4_filing;</t>
  </si>
  <si>
    <t xml:space="preserve">  cleared_before_filing   : zcy_det_clr_b4_fil;</t>
  </si>
  <si>
    <t xml:space="preserve">  grc_check_applicable    : zcy_det_grc_appl;</t>
  </si>
  <si>
    <t xml:space="preserve">  grc_checked_on          : zcy_det_grc_date;</t>
  </si>
  <si>
    <t xml:space="preserve">  grc_checked_at          : zcy_det_grc_time;</t>
  </si>
  <si>
    <t xml:space="preserve">  grc_checked_by          : zcy_det_grc_user;</t>
  </si>
  <si>
    <t xml:space="preserve">  grc_score               : zcy_det_grc_score;</t>
  </si>
  <si>
    <t xml:space="preserve">  gstr3b_score             : zcy_det_grc3_score;</t>
  </si>
  <si>
    <t xml:space="preserve">  grc_check_result        : zcy_det_grc_result;</t>
  </si>
  <si>
    <t xml:space="preserve">  grc_check_comment       : zcy_det_grc_comment;</t>
  </si>
  <si>
    <t xml:space="preserve">  blocked_on              : zcy_det_block_date;</t>
  </si>
  <si>
    <t xml:space="preserve">  blocked_at              : zcy_det_block_time;</t>
  </si>
  <si>
    <t xml:space="preserve">  blocked_by              : zcy_det_block_user;</t>
  </si>
  <si>
    <t xml:space="preserve">  block_comment           : zcy_det_block_comment;</t>
  </si>
  <si>
    <t xml:space="preserve">  split_comp_code         : zcy_det_split_comp;</t>
  </si>
  <si>
    <t xml:space="preserve">  split_gst_doc_num       : zcy_det_split_gst_doc;</t>
  </si>
  <si>
    <t xml:space="preserve">  split_year              : zcy_det_split_year;</t>
  </si>
  <si>
    <t xml:space="preserve">  split_on                : zcy_det_split_date;</t>
  </si>
  <si>
    <t xml:space="preserve">  split_at                : zcy_det_split_time;</t>
  </si>
  <si>
    <t xml:space="preserve">  split_by                : zcy_det_split_user;</t>
  </si>
  <si>
    <t xml:space="preserve">  split_comment           : zcy_det_split_comment;</t>
  </si>
  <si>
    <t xml:space="preserve">  split_rev_comp_code     : zcy_det_split_rev_comp;</t>
  </si>
  <si>
    <t xml:space="preserve">  split_rev_doc_num       : zcy_det_split_rev_doc;</t>
  </si>
  <si>
    <t xml:space="preserve">  split_rev_year          : zcy_det_split_rev_year;</t>
  </si>
  <si>
    <t xml:space="preserve">  split_rev_on            : zcy_det_split_rev_date;</t>
  </si>
  <si>
    <t xml:space="preserve">  split_rev_at            : zcy_det_split_rev_time;</t>
  </si>
  <si>
    <t xml:space="preserve">  split_rev_comment       : zcy_det_split_rev_comment;</t>
  </si>
  <si>
    <t xml:space="preserve">  jv_comp_code            : zcy_det_jv_comp;</t>
  </si>
  <si>
    <t xml:space="preserve">  jv_doc_num              : zcy_det_jv_doc;</t>
  </si>
  <si>
    <t xml:space="preserve">  jv_year                 : zcy_det_jv_year;</t>
  </si>
  <si>
    <t xml:space="preserve">  jv_rev_comp_code        : zcy_det_jv_rev_comp;</t>
  </si>
  <si>
    <t xml:space="preserve">  jv_rev_doc_num          : zcy_det_jv_rev_doc;</t>
  </si>
  <si>
    <t xml:space="preserve">  jv_rev_year             : zcy_det_jv_rev_year;</t>
  </si>
  <si>
    <t xml:space="preserve">  jv_reversed_on          : zcy_det_jv_rev_date;</t>
  </si>
  <si>
    <t xml:space="preserve">  jv_reversed_at          : zcy_det_jv_rev_time;</t>
  </si>
  <si>
    <t xml:space="preserve">  jv_reversed_by          : zcy_det_jv_rev_user;</t>
  </si>
  <si>
    <t xml:space="preserve">  jv_rev_comment          : zcy_det_jv_rev_comment;</t>
  </si>
  <si>
    <t xml:space="preserve">  released_on             : zcy_det_release_date;</t>
  </si>
  <si>
    <t xml:space="preserve">  released_at             : zcy_det_release_time;</t>
  </si>
  <si>
    <t xml:space="preserve">  released_by             : zcy_det_release_user;</t>
  </si>
  <si>
    <t xml:space="preserve">  release_comment         : zcy_det_release_comment;</t>
  </si>
  <si>
    <t xml:space="preserve">  debit_note_comp         : zcy_det_dn_comp;</t>
  </si>
  <si>
    <t xml:space="preserve">  debit_note_num          : zcy_det_dn_num;</t>
  </si>
  <si>
    <t xml:space="preserve">  debit_note_year         : zcy_det_dn_year;</t>
  </si>
  <si>
    <t xml:space="preserve">  debit_note_posted_on    : zcy_det_dn_date;</t>
  </si>
  <si>
    <t xml:space="preserve">  debit_note_posted_at    : zcy_det_dn_time;</t>
  </si>
  <si>
    <t xml:space="preserve">  debit_note_posted_by    : zcy_det_dn_user;</t>
  </si>
  <si>
    <t xml:space="preserve">  debit_note_comment      : zcy_det_dn_comment;</t>
  </si>
  <si>
    <t xml:space="preserve">  debit_note_rev_comp     : zcy_det_dn_rev_comp;</t>
  </si>
  <si>
    <t xml:space="preserve">  debit_note_rev_num      : zcy_det_dn_rev_num;</t>
  </si>
  <si>
    <t xml:space="preserve">  debit_note_rev_year     : zcy_det_dn_rev_year;</t>
  </si>
  <si>
    <t xml:space="preserve">  debit_note_reversed_on  : zcy_det_dn_rev_date;</t>
  </si>
  <si>
    <t xml:space="preserve">  debit_note_reversed_at  : zcy_det_dn_rev_time;</t>
  </si>
  <si>
    <t xml:space="preserve">  debit_note_reversed_by  : zcy_det_dn_rev_user;</t>
  </si>
  <si>
    <t xml:space="preserve">  debit_note_rev_comment  : zcy_det_dn_rev_comment;</t>
  </si>
  <si>
    <r>
      <t xml:space="preserve">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                : zcy_det_message;</t>
    </r>
  </si>
  <si>
    <t xml:space="preserve">  last_checked_on         : zcy_det_lc_date;</t>
  </si>
  <si>
    <t xml:space="preserve">  last_checked_at         : zcy_det_lc_time;</t>
  </si>
  <si>
    <t xml:space="preserve">  last_checked_by         : zcy_det_lc_user;</t>
  </si>
  <si>
    <t xml:space="preserve">  processing_options      : zcy_det_proc_opt;</t>
  </si>
  <si>
    <t xml:space="preserve">  wronggst                : char15;</t>
  </si>
  <si>
    <t xml:space="preserve">  gstin                   : zcy_det_billfromgstin;</t>
  </si>
  <si>
    <t xml:space="preserve">  gstin_part              : char20;</t>
  </si>
  <si>
    <t> </t>
  </si>
  <si>
    <r>
      <t xml:space="preserve">@EndUserText.label : </t>
    </r>
    <r>
      <rPr>
        <sz val="10"/>
        <color rgb="FF0A3069"/>
        <rFont val="Consolas"/>
        <family val="3"/>
      </rPr>
      <t>'Regular Returns Purchase Export.'</t>
    </r>
  </si>
  <si>
    <t>@AbapCatalog.tableCategory        : #TRANSPARENT</t>
  </si>
  <si>
    <t>@AbapCatalog.deliveryClass        : #A</t>
  </si>
  <si>
    <t>@AbapCatalog.dataMaintenance      : #ALLOWED</t>
  </si>
  <si>
    <r>
      <t>define table</t>
    </r>
    <r>
      <rPr>
        <sz val="10"/>
        <color rgb="FF1F2328"/>
        <rFont val="Consolas"/>
        <family val="3"/>
      </rPr>
      <t xml:space="preserve"> zcy_tab_rrp_e {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</si>
  <si>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mandt                      : mandt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</si>
  <si>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custom1                    : zcy_det_custom1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</si>
  <si>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custom4                    : zcy_det_custom4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</si>
  <si>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custom9                    : zcy_det_custom9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</si>
  <si>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t xml:space="preserve">      returnperiod                   : zcy_det_returnperiod;</t>
  </si>
  <si>
    <t xml:space="preserve">      locationgstin                  : zcy_det_locationgstin;</t>
  </si>
  <si>
    <t xml:space="preserve">      documentnumber                 : zcy_det_documentnumber;</t>
  </si>
  <si>
    <t xml:space="preserve">      serialnumber                   : zcy_det_serialnumber;</t>
  </si>
  <si>
    <t xml:space="preserve">      documentdate                   : bldat;</t>
  </si>
  <si>
    <t xml:space="preserve">      billfromgstin                  : zcy_det_billfromgstin;</t>
  </si>
  <si>
    <t xml:space="preserve">      financialyear                  : zcy_det_financialyear;</t>
  </si>
  <si>
    <t xml:space="preserve">      mapperid                       : zcy_det_mapperid;</t>
  </si>
  <si>
    <t xml:space="preserve">      supplytype                     : zcy_det_supplytype;</t>
  </si>
  <si>
    <t xml:space="preserve">      purpose                        : zcy_det_purpose;</t>
  </si>
  <si>
    <t xml:space="preserve">      locationname                   : zcy_det_locationname;</t>
  </si>
  <si>
    <t xml:space="preserve">      irn                            : zcy_det_irn;</t>
  </si>
  <si>
    <t xml:space="preserve">      liabilitydischargereturnperiod : zcy_det_liabilitydischargeretu;</t>
  </si>
  <si>
    <t xml:space="preserve">      itcclaimreturnperiod           : zcy_det_itcclaimreturnperiod;</t>
  </si>
  <si>
    <t xml:space="preserve">      documenttype                   : zcy_det_documenttype;</t>
  </si>
  <si>
    <t xml:space="preserve">      transactiontype                : zcy_det_transactiontype;</t>
  </si>
  <si>
    <t xml:space="preserve">      taxpayertype                   : zcy_det_taxpayertype;</t>
  </si>
  <si>
    <t xml:space="preserve">      transactionnature              : zcy_det_transactionnature;</t>
  </si>
  <si>
    <t xml:space="preserve">      documentseriescode             : zcy_det_documentseriescode;</t>
  </si>
  <si>
    <t xml:space="preserve">      billfromlegalname              : zcy_det_billfromlegalname;</t>
  </si>
  <si>
    <t xml:space="preserve">      billfromtradename              : zcy_det_billfromtradename;</t>
  </si>
  <si>
    <t xml:space="preserve">      billfromvendorcode             : zcy_det_billfromvendorcode;</t>
  </si>
  <si>
    <t xml:space="preserve">      billfromaddress1               : zcy_det_billfromaddress1;</t>
  </si>
  <si>
    <t xml:space="preserve">      billfromaddress2               : zcy_det_billfromaddress2;</t>
  </si>
  <si>
    <t xml:space="preserve">      billfromcity                   : zcy_det_billfromcity;</t>
  </si>
  <si>
    <t xml:space="preserve">      billfromstatecode              : zcy_det_billfromstatecode;</t>
  </si>
  <si>
    <t xml:space="preserve">      billfrompincode                : zcy_det_billfrompincode;</t>
  </si>
  <si>
    <t xml:space="preserve">      billfromphone                  : zcy_det_billfromphone;</t>
  </si>
  <si>
    <t xml:space="preserve">      billfromemail                  : zcy_det_billfromemail;</t>
  </si>
  <si>
    <t xml:space="preserve">      dispatchfromgstin              : zcy_det_dispatchfromgstin;</t>
  </si>
  <si>
    <t xml:space="preserve">      dispatchfromtradename          : zcy_det_dispatchfromtradename;</t>
  </si>
  <si>
    <t xml:space="preserve">      dispatchfromvendorcode         : zcy_det_dispatchfromvendorcode;</t>
  </si>
  <si>
    <t xml:space="preserve">      dispatchfromaddress1           : zcy_det_dispatchfromaddress1;</t>
  </si>
  <si>
    <t xml:space="preserve">      dispatchfromaddress2           : zcy_det_dispatchfromaddress2;</t>
  </si>
  <si>
    <t xml:space="preserve">      dispatchfromcity               : zcy_det_dispatchfromcity;</t>
  </si>
  <si>
    <t xml:space="preserve">      dispatchfromstatecode          : zcy_det_dispatchfromstatecode;</t>
  </si>
  <si>
    <t xml:space="preserve">      dispatchfrompincode            : zcy_det_dispatchfrompincode;</t>
  </si>
  <si>
    <t xml:space="preserve">      billtogstin                    : zcy_det_billtogstin;</t>
  </si>
  <si>
    <t xml:space="preserve">      billtolegalname                : zcy_det_billtolegalname;</t>
  </si>
  <si>
    <t xml:space="preserve">      billtotradename                : zcy_det_billtotradename;</t>
  </si>
  <si>
    <t xml:space="preserve">      billtovendorcode               : zcy_det_billtovendorcode;</t>
  </si>
  <si>
    <t xml:space="preserve">      billtoaddress1                 : zcy_det_billtoaddress1;</t>
  </si>
  <si>
    <t xml:space="preserve">      billtoaddress2                 : zcy_det_billtoaddress2;</t>
  </si>
  <si>
    <t xml:space="preserve">      billtocity                     : zcy_det_billtocity;</t>
  </si>
  <si>
    <t xml:space="preserve">      billtostatecode                : zcy_det_billtostatecode;</t>
  </si>
  <si>
    <t xml:space="preserve">      billtopincode                  : zcy_det_billtopincode;</t>
  </si>
  <si>
    <t xml:space="preserve">      billtophone                    : zcy_det_billtophone;</t>
  </si>
  <si>
    <t xml:space="preserve">      billtoemail                    : zcy_det_billtoemail;</t>
  </si>
  <si>
    <t xml:space="preserve">      shiptogstin                    : zcy_det_shiptogstin;</t>
  </si>
  <si>
    <t xml:space="preserve">      shiptolegalname                : zcy_det_shiptolegalname;</t>
  </si>
  <si>
    <t xml:space="preserve">      shiptotradename                : zcy_det_shiptotradename;</t>
  </si>
  <si>
    <t xml:space="preserve">      shiptovendorcode               : zcy_det_shiptovendorcode;</t>
  </si>
  <si>
    <t xml:space="preserve">      shiptoaddress1                 : zcy_det_shiptoaddress1;</t>
  </si>
  <si>
    <t xml:space="preserve">      shiptoaddress2                 : zcy_det_shiptoaddress2;</t>
  </si>
  <si>
    <t xml:space="preserve">      shiptocity                     : zcy_det_shiptocity;</t>
  </si>
  <si>
    <t xml:space="preserve">      shiptopincode                  : zcy_det_shiptopincode;</t>
  </si>
  <si>
    <t xml:space="preserve">      paymenttype                    : zcy_det_paymenttype;</t>
  </si>
  <si>
    <t xml:space="preserve">      paymentmode                    : zcy_det_paymentmode;</t>
  </si>
  <si>
    <t xml:space="preserve">      paymentamount                  : zcy_det_paymentamount;</t>
  </si>
  <si>
    <t xml:space="preserve">      advancepaidamount              : zcy_det_advancepaidamount;</t>
  </si>
  <si>
    <t xml:space="preserve">      paymentdate                    : zcy_det_paymentdate;</t>
  </si>
  <si>
    <t xml:space="preserve">      paymentremarks                 : zcy_det_paymentremarks;</t>
  </si>
  <si>
    <t xml:space="preserve">      paymentterms                   : zcy_det_paymentterms;</t>
  </si>
  <si>
    <t xml:space="preserve">      paymentinstruction             : zcy_det_paymentinstruction;</t>
  </si>
  <si>
    <t xml:space="preserve">      payeename                      : zcy_det_payeename;</t>
  </si>
  <si>
    <t xml:space="preserve">      payeeaccountnumber             : zcy_det_payeeaccountnumber;</t>
  </si>
  <si>
    <t xml:space="preserve">      paymentamountdue               : zcy_det_paymentamountdue;</t>
  </si>
  <si>
    <t xml:space="preserve">      ifsc                           : zcy_det_ifsc;</t>
  </si>
  <si>
    <t xml:space="preserve">      credittransfer                 : zcy_det_credittransfer;</t>
  </si>
  <si>
    <t xml:space="preserve">      directdebit                    : zcy_det_directdebit;</t>
  </si>
  <si>
    <t xml:space="preserve">      creditdays                     : zcy_det_creditdays;</t>
  </si>
  <si>
    <t xml:space="preserve">      creditavaileddate              : zcy_det_creditavaileddate;</t>
  </si>
  <si>
    <t xml:space="preserve">      creditreversaldate             : zcy_det_creditreversaldate;</t>
  </si>
  <si>
    <t xml:space="preserve">      refdocumentremarks             : zcy_det_refdocumentremarks;</t>
  </si>
  <si>
    <t xml:space="preserve">      refdocumentperiodstartdate     : zcy_det_refdocumentperiodstart;</t>
  </si>
  <si>
    <t xml:space="preserve">      refdocumentperiodenddate       : zcy_det_refdocumentperiodendda;</t>
  </si>
  <si>
    <t xml:space="preserve">      invno                          : zcy_det_invno;</t>
  </si>
  <si>
    <t xml:space="preserve">      invdt                          : zcy_det_invdt;</t>
  </si>
  <si>
    <t xml:space="preserve">      refcontractdetails             : zcy_det_refcontractdetails;</t>
  </si>
  <si>
    <t xml:space="preserve">      additionalsupportingdocumentde : zcy_det_additionalsupportingdo;</t>
  </si>
  <si>
    <t xml:space="preserve">      portcode                       : zcy_det_portcode;</t>
  </si>
  <si>
    <t xml:space="preserve">      documentcurrencycode           : zcy_det_documentcurrencycode;</t>
  </si>
  <si>
    <t xml:space="preserve">      destinationcountry             : zcy_det_destinationcountry;</t>
  </si>
  <si>
    <t xml:space="preserve">      pos                            : zcy_det_pos;</t>
  </si>
  <si>
    <t xml:space="preserve">      documentvalue                  : zcy_det_documentvalue;</t>
  </si>
  <si>
    <t xml:space="preserve">      documentdiscount               : zcy_det_documentdiscount;</t>
  </si>
  <si>
    <t xml:space="preserve">      documentothercharges           : zcy_det_documentothercharges;</t>
  </si>
  <si>
    <t xml:space="preserve">      documentvalueinforeigncurrency : zcy_det_documentvalueinforeign;</t>
  </si>
  <si>
    <t xml:space="preserve">      roundoffamount                 : zcy_det_roundoffamount;</t>
  </si>
  <si>
    <t xml:space="preserve">      differentialpercentage         : zcy_det_differentialpercentage;</t>
  </si>
  <si>
    <t xml:space="preserve">      reversecharge                  : zcy_det_reversecharge;</t>
  </si>
  <si>
    <t xml:space="preserve">      claimrefund                    : zcy_det_claimrefund;</t>
  </si>
  <si>
    <t xml:space="preserve">      underigstact                   : zcy_det_underigstact;</t>
  </si>
  <si>
    <t xml:space="preserve">      refundeligibility              : zcy_det_refundeligibility;</t>
  </si>
  <si>
    <t xml:space="preserve">      pnroruniquenumber              : zcy_det_pnroruniquenumber;</t>
  </si>
  <si>
    <t xml:space="preserve">      availprovisionalitc            : zcy_det_availprovisionalitc;</t>
  </si>
  <si>
    <t xml:space="preserve">      originalstatecode              : zcy_det_originalstatecode;</t>
  </si>
  <si>
    <t xml:space="preserve">      originaldocumentnumber         : zcy_det_originaldocumentnumber;</t>
  </si>
  <si>
    <t xml:space="preserve">      originaldocumentdate           : zcy_det_originaldocumentdate;</t>
  </si>
  <si>
    <t xml:space="preserve">      originalreturnperiod           : zcy_det_originalreturnperiod;</t>
  </si>
  <si>
    <t xml:space="preserve">      originaltaxablevalue           : zcy_det_originaltaxablevalue;</t>
  </si>
  <si>
    <t xml:space="preserve">      toemailaddresses               : zcy_det_toemailaddresses;</t>
  </si>
  <si>
    <t xml:space="preserve">      tomobilenumbers                : zcy_det_tomobilenumbers;</t>
  </si>
  <si>
    <t xml:space="preserve">      jworiginaldocumentnumber       : zcy_det_jworiginaldocumentnumb;</t>
  </si>
  <si>
    <t xml:space="preserve">      jworiginaldocumentdate         : zcy_det_jworiginaldocumentdate;</t>
  </si>
  <si>
    <t xml:space="preserve">      jwdocumentnumber               : zcy_det_jwdocumentnumber;</t>
  </si>
  <si>
    <t xml:space="preserve">      jwdocumentdate                 : zcy_det_jwdocumentdate;</t>
  </si>
  <si>
    <t xml:space="preserve">      autodraftsource                : zcy_det_autodraftsource;</t>
  </si>
  <si>
    <t xml:space="preserve">      irngenerationdate              : zcy_det_irngenerationdate;</t>
  </si>
  <si>
    <t xml:space="preserve">      isamendment                    : zcy_det_isamendment;</t>
  </si>
  <si>
    <t xml:space="preserve">      isavailableingstr2b            : zcy_det_isavailableingstr2b;</t>
  </si>
  <si>
    <t xml:space="preserve">      itcavailability                : zcy_det_itcavailability;</t>
  </si>
  <si>
    <t xml:space="preserve">      itcunavailabilityreason        : zcy_det_itcunavailabilityreaso;</t>
  </si>
  <si>
    <t xml:space="preserve">      custom2                        : zcy_det_custom2;</t>
  </si>
  <si>
    <t xml:space="preserve">      custom3                        : zcy_det_custom3;</t>
  </si>
  <si>
    <t xml:space="preserve">      custom5                        : zcy_det_custom5;</t>
  </si>
  <si>
    <t xml:space="preserve">      custom6                        : zcy_det_custom6;</t>
  </si>
  <si>
    <t xml:space="preserve">      custom7                        : zcy_det_custom7;</t>
  </si>
  <si>
    <t xml:space="preserve">      custom8                        : zcy_det_custom8;</t>
  </si>
  <si>
    <t xml:space="preserve">      custom10                       : zcy_det_custom10;</t>
  </si>
  <si>
    <t xml:space="preserve">      custom20                       : zcy_det_custom20;</t>
  </si>
  <si>
    <t xml:space="preserve">      natureofjwdone                 : zcy_det_natureofjwdone;</t>
  </si>
  <si>
    <t xml:space="preserve">      lossunitofmeasure              : zcy_det_lossunitofmeasure;</t>
  </si>
  <si>
    <r>
      <t xml:space="preserve">  @Semantics.quantity.unitOfMeasure : </t>
    </r>
    <r>
      <rPr>
        <sz val="10"/>
        <color rgb="FF0A3069"/>
        <rFont val="Consolas"/>
        <family val="3"/>
      </rPr>
      <t>'vbap.zieme'</t>
    </r>
  </si>
  <si>
    <t xml:space="preserve">      losstotalquantity              : zcy_det_losstotalquantity;</t>
  </si>
  <si>
    <t xml:space="preserve">      pusherrors                     : zcy_det_pusherrors;</t>
  </si>
  <si>
    <t xml:space="preserve">      pushstatus                     : zcy_det_pushstatus;</t>
  </si>
  <si>
    <t xml:space="preserve">      gstaction                      : zcy_det_gstaction;</t>
  </si>
  <si>
    <t xml:space="preserve">      reconciliationsection          : zcy_det_reconciliationsection;</t>
  </si>
  <si>
    <t xml:space="preserve">      pushdate                       : zcy_det_pushdate;</t>
  </si>
  <si>
    <t xml:space="preserve">      cancelleddate                  : zcy_det_cancelleddate;</t>
  </si>
  <si>
    <t xml:space="preserve">      ispregstregime                 : zcy_det_ispregstregime;</t>
  </si>
  <si>
    <t xml:space="preserve">      amendedtype                    : zcy_det_amendedtype;</t>
  </si>
  <si>
    <t xml:space="preserve">      isgstr3bfiled                  : zcy_det_isgstr3bfiled;</t>
  </si>
  <si>
    <t xml:space="preserve">      isgstr3bfildate                : zcy_det_is3bfilingdate;</t>
  </si>
  <si>
    <t xml:space="preserve">      filingdate                     : zcy_det_filingdate;</t>
  </si>
  <si>
    <t xml:space="preserve">      filingreturnperiod             : zcy_det_filingreturnperiod;</t>
  </si>
  <si>
    <t xml:space="preserve">      filingstatus                   : zcy_det_filingstatus;</t>
  </si>
  <si>
    <t xml:space="preserve">      isservice                      : zcy_det_isservice;</t>
  </si>
  <si>
    <t xml:space="preserve">      hsn                            : zcy_det_hsn;</t>
  </si>
  <si>
    <t xml:space="preserve">      productcode                    : zcy_det_productcode;</t>
  </si>
  <si>
    <r>
      <t xml:space="preserve">     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                          : zcy_det_name;</t>
    </r>
  </si>
  <si>
    <t xml:space="preserve">      description                    : zcy_det_description;</t>
  </si>
  <si>
    <t xml:space="preserve">      barcode                        : zcy_det_barcode;</t>
  </si>
  <si>
    <t xml:space="preserve">      uqc                            : zcy_det_uqc;</t>
  </si>
  <si>
    <t xml:space="preserve">      quantity                       : zcy_det_quantity;</t>
  </si>
  <si>
    <t xml:space="preserve">      freequantity                   : zcy_det_freequantity;</t>
  </si>
  <si>
    <r>
      <t xml:space="preserve">  @Semantics.amount.currencyCode : </t>
    </r>
    <r>
      <rPr>
        <sz val="10"/>
        <color rgb="FF0A3069"/>
        <rFont val="Consolas"/>
        <family val="3"/>
      </rPr>
      <t>'rv61a.koei1'</t>
    </r>
  </si>
  <si>
    <t xml:space="preserve">      rate                           : zcy_det_rate;</t>
  </si>
  <si>
    <t xml:space="preserve">      cessrate                       : zcy_det_cessrate;</t>
  </si>
  <si>
    <t xml:space="preserve">      statecessrate                  : zcy_det_statecessrate;</t>
  </si>
  <si>
    <t xml:space="preserve">      cessnonadvaloremrate           : zcy_det_cessnonadvaloremrate;</t>
  </si>
  <si>
    <t xml:space="preserve">      priceperquantity               : zcy_det_priceperquantity;</t>
  </si>
  <si>
    <t xml:space="preserve">      discountamount                 : zcy_det_discountamount;</t>
  </si>
  <si>
    <t xml:space="preserve">      grossamount                    : zcy_det_grossamount;</t>
  </si>
  <si>
    <t xml:space="preserve">      othercharges                   : zcy_det_othercharges;</t>
  </si>
  <si>
    <t xml:space="preserve">      taxablevalue                   : zcy_det_taxablevalue;</t>
  </si>
  <si>
    <t xml:space="preserve">      igstamount                     : zcy_det_igstamount;</t>
  </si>
  <si>
    <t xml:space="preserve">      cgstamount                     : zcy_det_cgstamount;</t>
  </si>
  <si>
    <t xml:space="preserve">      sgstamount                     : zcy_det_sgstamount;</t>
  </si>
  <si>
    <t xml:space="preserve">      cessamount                     : zcy_det_cessamount;</t>
  </si>
  <si>
    <t xml:space="preserve">      statecessamount                : zcy_det_statecessamount;</t>
  </si>
  <si>
    <t xml:space="preserve">      cessnonadvaloremamount         : zcy_det_cessnonadvaloremamount;</t>
  </si>
  <si>
    <t xml:space="preserve">      statecessnonadvaloremamount    : zcy_det_statecessnonadvalorema;</t>
  </si>
  <si>
    <t xml:space="preserve">      taxtype                        : zcy_det_taxtype;</t>
  </si>
  <si>
    <t xml:space="preserve">      itceligibility                 : zcy_det_itceligibility;</t>
  </si>
  <si>
    <t xml:space="preserve">      itcigstamount                  : zcy_det_itcigstamount;</t>
  </si>
  <si>
    <t xml:space="preserve">      itccgstamount                  : zcy_det_itccgstamount;</t>
  </si>
  <si>
    <t xml:space="preserve">      itcsgstamount                  : zcy_det_itcsgstamount;</t>
  </si>
  <si>
    <t xml:space="preserve">      itccessamount                  : zcy_det_itccessamount;</t>
  </si>
  <si>
    <t xml:space="preserve">      customitem1                    : zcy_det_customitem1;</t>
  </si>
  <si>
    <t xml:space="preserve">      customitem2                    : zcy_det_customitem2;</t>
  </si>
  <si>
    <t xml:space="preserve">      customitem3                    : zcy_det_customitem3;</t>
  </si>
  <si>
    <t xml:space="preserve">      customitem4                    : zcy_det_customitem4;</t>
  </si>
  <si>
    <t xml:space="preserve">      customitem5                    : zcy_det_customitem5;</t>
  </si>
  <si>
    <t xml:space="preserve">      customitem6                    : zcy_det_customitem6;</t>
  </si>
  <si>
    <t xml:space="preserve">      customitem7                    : zcy_det_customitem7;</t>
  </si>
  <si>
    <t xml:space="preserve">      customitem8                    : zcy_det_customitem8;</t>
  </si>
  <si>
    <t xml:space="preserve">      customitem9                    : zcy_det_customitem9;</t>
  </si>
  <si>
    <t xml:space="preserve">      customitem10                   : zcy_det_customitem10;</t>
  </si>
  <si>
    <t xml:space="preserve">      cpgstin                        : zcy_det_cpgstin;</t>
  </si>
  <si>
    <t xml:space="preserve">      cptradename                    : zcy_det_cptradename;</t>
  </si>
  <si>
    <t xml:space="preserve">      cplegalname                    : zcy_det_cplegalname;</t>
  </si>
  <si>
    <t xml:space="preserve">      cporiginaldocumentnumber       : zcy_det_cporiginaldocumentnum;</t>
  </si>
  <si>
    <t xml:space="preserve">      cporiginaldocumentdate         : zcy_det_cporiginaldocumentdate;</t>
  </si>
  <si>
    <t xml:space="preserve">      cpportcode                     : zcy_det_cpportcode;</t>
  </si>
  <si>
    <t xml:space="preserve">      cpdocumentnumber               : zcy_det_cpdocumentnumber;</t>
  </si>
  <si>
    <t xml:space="preserve">      cpdocumentdate                 : zcy_det_cpdocumentdate;</t>
  </si>
  <si>
    <t xml:space="preserve">      cpvalue                        : zcy_det_cpvalue;</t>
  </si>
  <si>
    <t xml:space="preserve">      cppos                          : zcy_det_cppos;</t>
  </si>
  <si>
    <t xml:space="preserve">      cpreversecharge                : zcy_det_cpreversecharge;</t>
  </si>
  <si>
    <t xml:space="preserve">      cpdifferentialpercentage       : zcy_det_cpdifferentialpercent;</t>
  </si>
  <si>
    <t xml:space="preserve">      cptransactiontype              : zcy_det_cptransactiontype;</t>
  </si>
  <si>
    <t xml:space="preserve">      cptaxpayertype                 : zcy_det_cptaxpayertype;</t>
  </si>
  <si>
    <t xml:space="preserve">      cptaxablevalue                 : zcy_det_cptaxablevalue;</t>
  </si>
  <si>
    <t xml:space="preserve">      cprate                         : zcy_det_cprate;</t>
  </si>
  <si>
    <t xml:space="preserve">      cpigstamount                   : zcy_det_cpigstamount;</t>
  </si>
  <si>
    <t xml:space="preserve">      cpcgstamount                   : zcy_det_cpcgstamount;</t>
  </si>
  <si>
    <t xml:space="preserve">      cpsgstamount                   : zcy_det_cpsgstamount;</t>
  </si>
  <si>
    <t xml:space="preserve">      cpcessamount                   : zcy_det_cpcessamount;</t>
  </si>
  <si>
    <t xml:space="preserve">      cpfilingstatus                 : zcy_det_cpfilingstatus;</t>
  </si>
  <si>
    <t xml:space="preserve">      cpsuppliercancellationdate     : zcy_det_cpsuppliercancellation;</t>
  </si>
  <si>
    <t xml:space="preserve">      cpfilingdate                   : zcy_det_cpfilingdate;</t>
  </si>
  <si>
    <t xml:space="preserve">      cpfilingreturnperiod           : zcy_det_cpfilingreturnperiod;</t>
  </si>
  <si>
    <t xml:space="preserve">      cpautodraftsource              : zcy_det_cpautodraftsource;</t>
  </si>
  <si>
    <t xml:space="preserve">      cpirn                          : zcy_det_cpirn;</t>
  </si>
  <si>
    <t xml:space="preserve">      cpirngenerationdate            : zcy_det_cpirngenerationdate;</t>
  </si>
  <si>
    <t xml:space="preserve">      cprefprecedingdocumentdetails  : zcy_det_cprefprecedingdocument;</t>
  </si>
  <si>
    <t xml:space="preserve">      cpavailableingstr2b            : zcy_det_cpavailableingstr2b;</t>
  </si>
  <si>
    <t xml:space="preserve">      cpgstr2breturnperiod           : zcy_det_cpgstr2breturnperiod;</t>
  </si>
  <si>
    <t xml:space="preserve">      cpavailableingstr98a           : zcy_det_cpavailableingstr98a;</t>
  </si>
  <si>
    <t xml:space="preserve">      cpitcavailability              : zcy_det_cpitcavailability;</t>
  </si>
  <si>
    <t xml:space="preserve">      cpitcunavailabilityreason      : zcy_det_cpitcunavailabilityrea;</t>
  </si>
  <si>
    <t xml:space="preserve">      cpitcclaimmonth                : zcy_det_cpitcclaimmonth;</t>
  </si>
  <si>
    <t xml:space="preserve">      cpreturnperiod                 : zcy_det_cpreturnperiod;</t>
  </si>
  <si>
    <t xml:space="preserve">      cpisamendment                  : zcy_det_cpisamendment;</t>
  </si>
  <si>
    <t xml:space="preserve">      cporiginalreturnperiod         : zcy_det_cporiginalreturnperiod;</t>
  </si>
  <si>
    <t xml:space="preserve">      cpamendedtype                  : zcy_det_cpamendedtype;</t>
  </si>
  <si>
    <t xml:space="preserve">      valuediff                      : zcy_det_valuediff;</t>
  </si>
  <si>
    <t xml:space="preserve">      taxablediff                    : zcy_det_taxablediff;</t>
  </si>
  <si>
    <t xml:space="preserve">      taxdiff                        : zcy_det_taxdiff;</t>
  </si>
  <si>
    <t xml:space="preserve">      reason                         : zcy_det_reason;</t>
  </si>
  <si>
    <t xml:space="preserve">      rec_date                       : datum;</t>
  </si>
  <si>
    <t xml:space="preserve">      rec_time                       : uzeit;</t>
  </si>
  <si>
    <t>CHAR40</t>
  </si>
  <si>
    <t>CHAR 6</t>
  </si>
  <si>
    <t>CHAR 15</t>
  </si>
  <si>
    <t>CHAR 16</t>
  </si>
  <si>
    <t>DATS 8</t>
  </si>
  <si>
    <t>CHAR 1</t>
  </si>
  <si>
    <t>DATS8</t>
  </si>
  <si>
    <t>TIMS 8</t>
  </si>
  <si>
    <t>CHAR 80</t>
  </si>
  <si>
    <t>CHAR 5</t>
  </si>
  <si>
    <t>CHAR 200</t>
  </si>
  <si>
    <t>TIMS 6</t>
  </si>
  <si>
    <t>CHAR 4</t>
  </si>
  <si>
    <t>CHAR 10</t>
  </si>
  <si>
    <t>NUMC 4</t>
  </si>
  <si>
    <t>CHAR 3</t>
  </si>
  <si>
    <t>CHAR 40</t>
  </si>
  <si>
    <t>MT_DATA</t>
  </si>
  <si>
    <t>mandt</t>
  </si>
  <si>
    <t>custom1</t>
  </si>
  <si>
    <t>custom4</t>
  </si>
  <si>
    <t>custom9</t>
  </si>
  <si>
    <t>returnperiod</t>
  </si>
  <si>
    <t>locationgstin</t>
  </si>
  <si>
    <t>documentnumber</t>
  </si>
  <si>
    <t>documentdate</t>
  </si>
  <si>
    <t>financialyear</t>
  </si>
  <si>
    <t>currency</t>
  </si>
  <si>
    <t>fi_doc_value</t>
  </si>
  <si>
    <t>fi_tax_value</t>
  </si>
  <si>
    <t>fi_tax_code</t>
  </si>
  <si>
    <t>fi_tax_rate</t>
  </si>
  <si>
    <t>status</t>
  </si>
  <si>
    <t>gst_part</t>
  </si>
  <si>
    <t>vendor</t>
  </si>
  <si>
    <t>mindk</t>
  </si>
  <si>
    <t>vendor_block_type</t>
  </si>
  <si>
    <t>payment_due_date</t>
  </si>
  <si>
    <t>clearing_no</t>
  </si>
  <si>
    <t>clearing_date</t>
  </si>
  <si>
    <t>expected_filing_date</t>
  </si>
  <si>
    <t>due_date_before_filing</t>
  </si>
  <si>
    <t>cleared_before_filing</t>
  </si>
  <si>
    <t>grc_check_applicable</t>
  </si>
  <si>
    <t>grc_checked_on</t>
  </si>
  <si>
    <t>grc_checked_at</t>
  </si>
  <si>
    <t>grc_checked_by</t>
  </si>
  <si>
    <t>grc_score</t>
  </si>
  <si>
    <t>gstr3b_score</t>
  </si>
  <si>
    <t>grc_check_result</t>
  </si>
  <si>
    <t>grc_check_comment</t>
  </si>
  <si>
    <t>blocked_on</t>
  </si>
  <si>
    <t>blocked_at</t>
  </si>
  <si>
    <t>blocked_by</t>
  </si>
  <si>
    <t>block_comment</t>
  </si>
  <si>
    <t>split_comp_code</t>
  </si>
  <si>
    <t>split_gst_doc_num</t>
  </si>
  <si>
    <t>split_year</t>
  </si>
  <si>
    <t>split_on</t>
  </si>
  <si>
    <t>split_at</t>
  </si>
  <si>
    <t>split_by</t>
  </si>
  <si>
    <t>split_comment</t>
  </si>
  <si>
    <t>split_rev_comp_code</t>
  </si>
  <si>
    <t>split_rev_doc_num</t>
  </si>
  <si>
    <t>split_rev_year</t>
  </si>
  <si>
    <t>split_rev_on</t>
  </si>
  <si>
    <t>split_rev_at</t>
  </si>
  <si>
    <t>split_rev_by</t>
  </si>
  <si>
    <t>split_rev_comment</t>
  </si>
  <si>
    <t>jv_comp_code</t>
  </si>
  <si>
    <t>jv_doc_num</t>
  </si>
  <si>
    <t>jv_year</t>
  </si>
  <si>
    <t>jv_posted_on</t>
  </si>
  <si>
    <t>jv_posted_at</t>
  </si>
  <si>
    <t>jv_posted_by</t>
  </si>
  <si>
    <t>jv_comment</t>
  </si>
  <si>
    <t>jv_rev_comp_code</t>
  </si>
  <si>
    <t>jv_rev_doc_num</t>
  </si>
  <si>
    <t>jv_rev_year</t>
  </si>
  <si>
    <t>jv_reversed_on</t>
  </si>
  <si>
    <t>jv_reversed_at</t>
  </si>
  <si>
    <t>jv_reversed_by</t>
  </si>
  <si>
    <t>jv_rev_comment</t>
  </si>
  <si>
    <t>released_on</t>
  </si>
  <si>
    <t>released_at</t>
  </si>
  <si>
    <t>released_by</t>
  </si>
  <si>
    <t>release_comment</t>
  </si>
  <si>
    <t>debit_note_comp</t>
  </si>
  <si>
    <t>debit_note_num</t>
  </si>
  <si>
    <t>debit_note_year</t>
  </si>
  <si>
    <t>debit_note_posted_on</t>
  </si>
  <si>
    <t>debit_note_posted_at</t>
  </si>
  <si>
    <t>debit_note_posted_by</t>
  </si>
  <si>
    <t>debit_note_comment</t>
  </si>
  <si>
    <t>debit_note_rev_comp</t>
  </si>
  <si>
    <t>debit_note_rev_num</t>
  </si>
  <si>
    <t>debit_note_rev_year</t>
  </si>
  <si>
    <t>debit_note_reversed_on</t>
  </si>
  <si>
    <t>debit_note_reversed_at</t>
  </si>
  <si>
    <t>debit_note_reversed_by</t>
  </si>
  <si>
    <t>debit_note_rev_comment</t>
  </si>
  <si>
    <t>message</t>
  </si>
  <si>
    <t>last_checked_on</t>
  </si>
  <si>
    <t>last_checked_at</t>
  </si>
  <si>
    <t>last_checked_by</t>
  </si>
  <si>
    <t>processing_options</t>
  </si>
  <si>
    <t>wronggst</t>
  </si>
  <si>
    <t>gstin</t>
  </si>
  <si>
    <t>gstin_part</t>
  </si>
  <si>
    <t>documenttype</t>
  </si>
  <si>
    <t>remark</t>
  </si>
  <si>
    <t>serialnumber</t>
  </si>
  <si>
    <t>billfromgstin</t>
  </si>
  <si>
    <t>mapperid</t>
  </si>
  <si>
    <t>supplytype</t>
  </si>
  <si>
    <t>purpose</t>
  </si>
  <si>
    <t>locationname</t>
  </si>
  <si>
    <t>irn</t>
  </si>
  <si>
    <t>liabilitydischargereturnperiod</t>
  </si>
  <si>
    <t>itcclaimreturnperiod</t>
  </si>
  <si>
    <t>transactiontype</t>
  </si>
  <si>
    <t>taxpayertype</t>
  </si>
  <si>
    <t>transactionnature</t>
  </si>
  <si>
    <t>documentseriescode</t>
  </si>
  <si>
    <t>billfromlegalname</t>
  </si>
  <si>
    <t>billfromtradename</t>
  </si>
  <si>
    <t>billfromvendorcode</t>
  </si>
  <si>
    <t>billfromaddress1</t>
  </si>
  <si>
    <t>billfromaddress2</t>
  </si>
  <si>
    <t>billfromcity</t>
  </si>
  <si>
    <t>billfromstatecode</t>
  </si>
  <si>
    <t>billfrompincode</t>
  </si>
  <si>
    <t>billfromphone</t>
  </si>
  <si>
    <t>billfromemail</t>
  </si>
  <si>
    <t>dispatchfromgstin</t>
  </si>
  <si>
    <t>dispatchfromtradename</t>
  </si>
  <si>
    <t>dispatchfromvendorcode</t>
  </si>
  <si>
    <t>dispatchfromaddress1</t>
  </si>
  <si>
    <t>dispatchfromaddress2</t>
  </si>
  <si>
    <t>dispatchfromcity</t>
  </si>
  <si>
    <t>dispatchfromstatecode</t>
  </si>
  <si>
    <t>dispatchfrompincode</t>
  </si>
  <si>
    <t>billtogstin</t>
  </si>
  <si>
    <t>billtolegalname</t>
  </si>
  <si>
    <t>billtotradename</t>
  </si>
  <si>
    <t>billtovendorcode</t>
  </si>
  <si>
    <t>billtoaddress1</t>
  </si>
  <si>
    <t>billtoaddress2</t>
  </si>
  <si>
    <t>billtocity</t>
  </si>
  <si>
    <t>billtostatecode</t>
  </si>
  <si>
    <t>billtopincode</t>
  </si>
  <si>
    <t>billtophone</t>
  </si>
  <si>
    <t>billtoemail</t>
  </si>
  <si>
    <t>shiptogstin</t>
  </si>
  <si>
    <t>shiptolegalname</t>
  </si>
  <si>
    <t>shiptotradename</t>
  </si>
  <si>
    <t>shiptovendorcode</t>
  </si>
  <si>
    <t>shiptoaddress1</t>
  </si>
  <si>
    <t>shiptoaddress2</t>
  </si>
  <si>
    <t>shiptocity</t>
  </si>
  <si>
    <t>shiptopincode</t>
  </si>
  <si>
    <t>paymenttype</t>
  </si>
  <si>
    <t>paymentmode</t>
  </si>
  <si>
    <t>paymentamount</t>
  </si>
  <si>
    <t>advancepaidamount</t>
  </si>
  <si>
    <t>paymentdate</t>
  </si>
  <si>
    <t>paymentremarks</t>
  </si>
  <si>
    <t>paymentterms</t>
  </si>
  <si>
    <t>paymentinstruction</t>
  </si>
  <si>
    <t>payeename</t>
  </si>
  <si>
    <t>payeeaccountnumber</t>
  </si>
  <si>
    <t>paymentamountdue</t>
  </si>
  <si>
    <t>ifsc</t>
  </si>
  <si>
    <t>credittransfer</t>
  </si>
  <si>
    <t>directdebit</t>
  </si>
  <si>
    <t>creditdays</t>
  </si>
  <si>
    <t>creditavaileddate</t>
  </si>
  <si>
    <t>creditreversaldate</t>
  </si>
  <si>
    <t>refdocumentremarks</t>
  </si>
  <si>
    <t>refdocumentperiodstartdate</t>
  </si>
  <si>
    <t>refdocumentperiodenddate</t>
  </si>
  <si>
    <t>invno</t>
  </si>
  <si>
    <t>invdt</t>
  </si>
  <si>
    <t>refcontractdetails</t>
  </si>
  <si>
    <t>additionalsupportingdocumentde</t>
  </si>
  <si>
    <t>portcode</t>
  </si>
  <si>
    <t>documentcurrencycode</t>
  </si>
  <si>
    <t>destinationcountry</t>
  </si>
  <si>
    <t>pos</t>
  </si>
  <si>
    <t>documentvalue</t>
  </si>
  <si>
    <t>documentdiscount</t>
  </si>
  <si>
    <t>documentothercharges</t>
  </si>
  <si>
    <t>documentvalueinforeigncurrency</t>
  </si>
  <si>
    <t>roundoffamount</t>
  </si>
  <si>
    <t>differentialpercentage</t>
  </si>
  <si>
    <t>reversecharge</t>
  </si>
  <si>
    <t>claimrefund</t>
  </si>
  <si>
    <t>underigstact</t>
  </si>
  <si>
    <t>refundeligibility</t>
  </si>
  <si>
    <t>pnroruniquenumber</t>
  </si>
  <si>
    <t>availprovisionalitc</t>
  </si>
  <si>
    <t>originalstatecode</t>
  </si>
  <si>
    <t>originaldocumentnumber</t>
  </si>
  <si>
    <t>originaldocumentdate</t>
  </si>
  <si>
    <t>originalreturnperiod</t>
  </si>
  <si>
    <t>originaltaxablevalue</t>
  </si>
  <si>
    <t>toemailaddresses</t>
  </si>
  <si>
    <t>tomobilenumbers</t>
  </si>
  <si>
    <t>jworiginaldocumentnumber</t>
  </si>
  <si>
    <t>jworiginaldocumentdate</t>
  </si>
  <si>
    <t>jwdocumentnumber</t>
  </si>
  <si>
    <t>jwdocumentdate</t>
  </si>
  <si>
    <t>autodraftsource</t>
  </si>
  <si>
    <t>irngenerationdate</t>
  </si>
  <si>
    <t>isamendment</t>
  </si>
  <si>
    <t>isavailableingstr2b</t>
  </si>
  <si>
    <t>itcavailability</t>
  </si>
  <si>
    <t>itcunavailabilityreason</t>
  </si>
  <si>
    <t>custom2</t>
  </si>
  <si>
    <t>custom3</t>
  </si>
  <si>
    <t>custom5</t>
  </si>
  <si>
    <t>custom6</t>
  </si>
  <si>
    <t>custom7</t>
  </si>
  <si>
    <t>custom8</t>
  </si>
  <si>
    <t>custom10</t>
  </si>
  <si>
    <t>custom20</t>
  </si>
  <si>
    <t>natureofjwdone</t>
  </si>
  <si>
    <t>lossunitofmeasure</t>
  </si>
  <si>
    <t>losstotalquantity</t>
  </si>
  <si>
    <t>pusherrors</t>
  </si>
  <si>
    <t>pushstatus</t>
  </si>
  <si>
    <t>gstaction</t>
  </si>
  <si>
    <t>reconciliationsection</t>
  </si>
  <si>
    <t>pushdate</t>
  </si>
  <si>
    <t>cancelleddate</t>
  </si>
  <si>
    <t>ispregstregime</t>
  </si>
  <si>
    <t>amendedtype</t>
  </si>
  <si>
    <t>isgstr3bfiled</t>
  </si>
  <si>
    <t>isgstr3bfildate</t>
  </si>
  <si>
    <t>filingdate</t>
  </si>
  <si>
    <t>filingreturnperiod</t>
  </si>
  <si>
    <t>filingstatus</t>
  </si>
  <si>
    <t>isservice</t>
  </si>
  <si>
    <t>hsn</t>
  </si>
  <si>
    <t>productcode</t>
  </si>
  <si>
    <t>name</t>
  </si>
  <si>
    <t>description</t>
  </si>
  <si>
    <t>barcode</t>
  </si>
  <si>
    <t>uqc</t>
  </si>
  <si>
    <t>quantity</t>
  </si>
  <si>
    <t>freequantity</t>
  </si>
  <si>
    <t>rate</t>
  </si>
  <si>
    <t>cessrate</t>
  </si>
  <si>
    <t>statecessrate</t>
  </si>
  <si>
    <t>cessnonadvaloremrate</t>
  </si>
  <si>
    <t>priceperquantity</t>
  </si>
  <si>
    <t>discountamount</t>
  </si>
  <si>
    <t>grossamount</t>
  </si>
  <si>
    <t>othercharges</t>
  </si>
  <si>
    <t>taxablevalue</t>
  </si>
  <si>
    <t>igstamount</t>
  </si>
  <si>
    <t>cgstamount</t>
  </si>
  <si>
    <t>sgstamount</t>
  </si>
  <si>
    <t>cessamount</t>
  </si>
  <si>
    <t>statecessamount</t>
  </si>
  <si>
    <t>cessnonadvaloremamount</t>
  </si>
  <si>
    <t>statecessnonadvaloremamount</t>
  </si>
  <si>
    <t>taxtype</t>
  </si>
  <si>
    <t>itceligibility</t>
  </si>
  <si>
    <t>itcigstamount</t>
  </si>
  <si>
    <t>itccgstamount</t>
  </si>
  <si>
    <t>itcsgstamount</t>
  </si>
  <si>
    <t>itccessamount</t>
  </si>
  <si>
    <t>customitem1</t>
  </si>
  <si>
    <t>customitem2</t>
  </si>
  <si>
    <t>customitem3</t>
  </si>
  <si>
    <t>customitem4</t>
  </si>
  <si>
    <t>customitem5</t>
  </si>
  <si>
    <t>customitem6</t>
  </si>
  <si>
    <t>customitem7</t>
  </si>
  <si>
    <t>customitem8</t>
  </si>
  <si>
    <t>customitem9</t>
  </si>
  <si>
    <t>customitem10</t>
  </si>
  <si>
    <t>cpgstin</t>
  </si>
  <si>
    <t>cptradename</t>
  </si>
  <si>
    <t>cplegalname</t>
  </si>
  <si>
    <t>cporiginaldocumentnumber</t>
  </si>
  <si>
    <t>cporiginaldocumentdate</t>
  </si>
  <si>
    <t>cpportcode</t>
  </si>
  <si>
    <t>cpdocumentnumber</t>
  </si>
  <si>
    <t>cpdocumentdate</t>
  </si>
  <si>
    <t>cpvalue</t>
  </si>
  <si>
    <t>cppos</t>
  </si>
  <si>
    <t>cpreversecharge</t>
  </si>
  <si>
    <t>cpdifferentialpercentage</t>
  </si>
  <si>
    <t>cptransactiontype</t>
  </si>
  <si>
    <t>cptaxpayertype</t>
  </si>
  <si>
    <t>cptaxablevalue</t>
  </si>
  <si>
    <t>cprate</t>
  </si>
  <si>
    <t>cpigstamount</t>
  </si>
  <si>
    <t>cpcgstamount</t>
  </si>
  <si>
    <t>cpsgstamount</t>
  </si>
  <si>
    <t>cpcessamount</t>
  </si>
  <si>
    <t>cpfilingstatus</t>
  </si>
  <si>
    <t>cpsuppliercancellationdate</t>
  </si>
  <si>
    <t>cpfilingdate</t>
  </si>
  <si>
    <t>cpfilingreturnperiod</t>
  </si>
  <si>
    <t>cpautodraftsource</t>
  </si>
  <si>
    <t>cpirn</t>
  </si>
  <si>
    <t>cpirngenerationdate</t>
  </si>
  <si>
    <t>cprefprecedingdocumentdetails</t>
  </si>
  <si>
    <t>cpavailableingstr2b</t>
  </si>
  <si>
    <t>cpgstr2breturnperiod</t>
  </si>
  <si>
    <t>cpavailableingstr98a</t>
  </si>
  <si>
    <t>cpitcavailability</t>
  </si>
  <si>
    <t>cpitcunavailabilityreason</t>
  </si>
  <si>
    <t>cpitcclaimmonth</t>
  </si>
  <si>
    <t>cpreturnperiod</t>
  </si>
  <si>
    <t>cpisamendment</t>
  </si>
  <si>
    <t>cporiginalreturnperiod</t>
  </si>
  <si>
    <t>cpamendedtype</t>
  </si>
  <si>
    <t>valuediff</t>
  </si>
  <si>
    <t>taxablediff</t>
  </si>
  <si>
    <t>taxdiff</t>
  </si>
  <si>
    <t>reason</t>
  </si>
  <si>
    <t>rec_date</t>
  </si>
  <si>
    <t>rec_time</t>
  </si>
  <si>
    <t>procstat</t>
  </si>
  <si>
    <t>cbox</t>
  </si>
  <si>
    <t>reco_stat</t>
  </si>
  <si>
    <t>totaltax</t>
  </si>
  <si>
    <t>status_desc</t>
  </si>
  <si>
    <t>block_type_desc</t>
  </si>
  <si>
    <t>vendor_name</t>
  </si>
  <si>
    <t>blart</t>
  </si>
  <si>
    <t>qblock</t>
  </si>
  <si>
    <t>preconciliationsection</t>
  </si>
  <si>
    <t>msme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</si>
  <si>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</si>
  <si>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</si>
  <si>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</si>
  <si>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</si>
  <si>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tims</t>
    </r>
    <r>
      <rPr>
        <b/>
        <sz val="10"/>
        <color rgb="FF7F0074"/>
        <rFont val="Consolas"/>
        <family val="3"/>
      </rPr>
      <t>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</si>
  <si>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80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</si>
  <si>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</si>
  <si>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t>date</t>
  </si>
  <si>
    <t>time</t>
  </si>
  <si>
    <t>user</t>
  </si>
  <si>
    <t>comment</t>
  </si>
  <si>
    <t>year</t>
  </si>
  <si>
    <t>doc</t>
  </si>
  <si>
    <t>comp</t>
  </si>
  <si>
    <t>appl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</si>
  <si>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</si>
  <si>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t>score</t>
  </si>
  <si>
    <t>result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</si>
  <si>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);</t>
    </r>
  </si>
  <si>
    <t>type</t>
  </si>
  <si>
    <t>filing</t>
  </si>
  <si>
    <t>fil</t>
  </si>
  <si>
    <t>opt</t>
  </si>
  <si>
    <t>abap.char(15);</t>
  </si>
  <si>
    <t>abap.char(3);</t>
  </si>
  <si>
    <t>abap.char(40);</t>
  </si>
  <si>
    <t>zcy_det_dn_rev_num</t>
  </si>
  <si>
    <t>num</t>
  </si>
  <si>
    <t>char</t>
  </si>
  <si>
    <t>c6</t>
  </si>
  <si>
    <t>c15</t>
  </si>
  <si>
    <t>c16</t>
  </si>
  <si>
    <t>c40</t>
  </si>
  <si>
    <t>curr 13,2</t>
  </si>
  <si>
    <t>c3</t>
  </si>
  <si>
    <t>c200</t>
  </si>
  <si>
    <t>curr 11,2</t>
  </si>
  <si>
    <t>c20</t>
  </si>
  <si>
    <t>c50</t>
  </si>
  <si>
    <t>c2</t>
  </si>
  <si>
    <t>c1</t>
  </si>
  <si>
    <t>c4</t>
  </si>
  <si>
    <t>c8</t>
  </si>
  <si>
    <t>@EndUserText.label : 'Regular Returns Purchase Export.'</t>
  </si>
  <si>
    <t>@AbapCatalog.tableCategory : #TRANSPARENT</t>
  </si>
  <si>
    <t>@AbapCatalog.deliveryClass : #A</t>
  </si>
  <si>
    <t>@AbapCatalog.dataMaintenance : #ALLOWED</t>
  </si>
  <si>
    <t>define table zcy_tab_rrp_e {</t>
  </si>
  <si>
    <t xml:space="preserve">  key mandt                      : mandt not null;</t>
  </si>
  <si>
    <t xml:space="preserve">  key custom1                    : zcy_det_custom1 not null;</t>
  </si>
  <si>
    <t xml:space="preserve">  key custom4                    : zcy_det_custom4 not null;</t>
  </si>
  <si>
    <t xml:space="preserve">  key custom9                    : zcy_det_custom9 not null;</t>
  </si>
  <si>
    <t xml:space="preserve">  returnperiod                   : zcy_det_returnperiod;</t>
  </si>
  <si>
    <t xml:space="preserve">  locationgstin                  : zcy_det_locationgstin;</t>
  </si>
  <si>
    <t xml:space="preserve">  documentnumber                 : zcy_det_documentnumber;</t>
  </si>
  <si>
    <t xml:space="preserve">  serialnumber                   : zcy_det_serialnumber;</t>
  </si>
  <si>
    <t xml:space="preserve">  documentdate                   : bldat;</t>
  </si>
  <si>
    <t xml:space="preserve">  billfromgstin                  : zcy_det_billfromgstin;</t>
  </si>
  <si>
    <t xml:space="preserve">  financialyear                  : zcy_det_financialyear;</t>
  </si>
  <si>
    <t xml:space="preserve">  mapperid                       : zcy_det_mapperid;</t>
  </si>
  <si>
    <t xml:space="preserve">  supplytype                     : zcy_det_supplytype;</t>
  </si>
  <si>
    <t xml:space="preserve">  purpose                        : zcy_det_purpose;</t>
  </si>
  <si>
    <t xml:space="preserve">  locationname                   : zcy_det_locationname;</t>
  </si>
  <si>
    <t xml:space="preserve">  irn                            : zcy_det_irn;</t>
  </si>
  <si>
    <t xml:space="preserve">  liabilitydischargereturnperiod : zcy_det_liabilitydischargeretu;</t>
  </si>
  <si>
    <t xml:space="preserve">  itcclaimreturnperiod           : zcy_det_itcclaimreturnperiod;</t>
  </si>
  <si>
    <t xml:space="preserve">  documenttype                   : zcy_det_documenttype;</t>
  </si>
  <si>
    <t xml:space="preserve">  transactiontype                : zcy_det_transactiontype;</t>
  </si>
  <si>
    <t xml:space="preserve">  taxpayertype                   : zcy_det_taxpayertype;</t>
  </si>
  <si>
    <t xml:space="preserve">  transactionnature              : zcy_det_transactionnature;</t>
  </si>
  <si>
    <t xml:space="preserve">  documentseriescode             : zcy_det_documentseriescode;</t>
  </si>
  <si>
    <t xml:space="preserve">  billfromlegalname              : zcy_det_billfromlegalname;</t>
  </si>
  <si>
    <t xml:space="preserve">  billfromtradename              : zcy_det_billfromtradename;</t>
  </si>
  <si>
    <t xml:space="preserve">  billfromvendorcode             : zcy_det_billfromvendorcode;</t>
  </si>
  <si>
    <t xml:space="preserve">  billfromaddress1               : zcy_det_billfromaddress1;</t>
  </si>
  <si>
    <t xml:space="preserve">  billfromaddress2               : zcy_det_billfromaddress2;</t>
  </si>
  <si>
    <t xml:space="preserve">  billfromcity                   : zcy_det_billfromcity;</t>
  </si>
  <si>
    <t xml:space="preserve">  billfromstatecode              : zcy_det_billfromstatecode;</t>
  </si>
  <si>
    <t xml:space="preserve">  billfrompincode                : zcy_det_billfrompincode;</t>
  </si>
  <si>
    <t xml:space="preserve">  billfromphone                  : zcy_det_billfromphone;</t>
  </si>
  <si>
    <t xml:space="preserve">  billfromemail                  : zcy_det_billfromemail;</t>
  </si>
  <si>
    <t xml:space="preserve">  dispatchfromgstin              : zcy_det_dispatchfromgstin;</t>
  </si>
  <si>
    <t xml:space="preserve">  dispatchfromtradename          : zcy_det_dispatchfromtradename;</t>
  </si>
  <si>
    <t xml:space="preserve">  dispatchfromvendorcode         : zcy_det_dispatchfromvendorcode;</t>
  </si>
  <si>
    <t xml:space="preserve">  dispatchfromaddress1           : zcy_det_dispatchfromaddress1;</t>
  </si>
  <si>
    <t xml:space="preserve">  dispatchfromaddress2           : zcy_det_dispatchfromaddress2;</t>
  </si>
  <si>
    <t xml:space="preserve">  dispatchfromcity               : zcy_det_dispatchfromcity;</t>
  </si>
  <si>
    <t xml:space="preserve">  dispatchfromstatecode          : zcy_det_dispatchfromstatecode;</t>
  </si>
  <si>
    <t xml:space="preserve">  dispatchfrompincode            : zcy_det_dispatchfrompincode;</t>
  </si>
  <si>
    <t xml:space="preserve">  billtogstin                    : zcy_det_billtogstin;</t>
  </si>
  <si>
    <t xml:space="preserve">  billtolegalname                : zcy_det_billtolegalname;</t>
  </si>
  <si>
    <t xml:space="preserve">  billtotradename                : zcy_det_billtotradename;</t>
  </si>
  <si>
    <t xml:space="preserve">  billtovendorcode               : zcy_det_billtovendorcode;</t>
  </si>
  <si>
    <t xml:space="preserve">  billtoaddress1                 : zcy_det_billtoaddress1;</t>
  </si>
  <si>
    <t xml:space="preserve">  billtoaddress2                 : zcy_det_billtoaddress2;</t>
  </si>
  <si>
    <t xml:space="preserve">  billtocity                     : zcy_det_billtocity;</t>
  </si>
  <si>
    <t xml:space="preserve">  billtostatecode                : zcy_det_billtostatecode;</t>
  </si>
  <si>
    <t xml:space="preserve">  billtopincode                  : zcy_det_billtopincode;</t>
  </si>
  <si>
    <t xml:space="preserve">  billtophone                    : zcy_det_billtophone;</t>
  </si>
  <si>
    <t xml:space="preserve">  billtoemail                    : zcy_det_billtoemail;</t>
  </si>
  <si>
    <t xml:space="preserve">  shiptogstin                    : zcy_det_shiptogstin;</t>
  </si>
  <si>
    <t xml:space="preserve">  shiptolegalname                : zcy_det_shiptolegalname;</t>
  </si>
  <si>
    <t xml:space="preserve">  shiptotradename                : zcy_det_shiptotradename;</t>
  </si>
  <si>
    <t xml:space="preserve">  shiptovendorcode               : zcy_det_shiptovendorcode;</t>
  </si>
  <si>
    <t xml:space="preserve">  shiptoaddress1                 : zcy_det_shiptoaddress1;</t>
  </si>
  <si>
    <t xml:space="preserve">  shiptoaddress2                 : zcy_det_shiptoaddress2;</t>
  </si>
  <si>
    <t xml:space="preserve">  shiptocity                     : zcy_det_shiptocity;</t>
  </si>
  <si>
    <t xml:space="preserve">  shiptostatecode                : zcy_det_shiptostatecode;</t>
  </si>
  <si>
    <t xml:space="preserve">  shiptopincode                  : zcy_det_shiptopincode;</t>
  </si>
  <si>
    <t xml:space="preserve">  paymenttype                    : zcy_det_paymenttype;</t>
  </si>
  <si>
    <t xml:space="preserve">  paymentmode                    : zcy_det_paymentmode;</t>
  </si>
  <si>
    <t xml:space="preserve">  @Semantics.amount.currencyCode : 'vbak.waerk'</t>
  </si>
  <si>
    <t xml:space="preserve">  paymentamount                  : zcy_det_paymentamount;</t>
  </si>
  <si>
    <t xml:space="preserve">  advancepaidamount              : zcy_det_advancepaidamount;</t>
  </si>
  <si>
    <t xml:space="preserve">  paymentdate                    : zcy_det_paymentdate;</t>
  </si>
  <si>
    <t xml:space="preserve">  paymentremarks                 : zcy_det_paymentremarks;</t>
  </si>
  <si>
    <t xml:space="preserve">  paymentterms                   : zcy_det_paymentterms;</t>
  </si>
  <si>
    <t xml:space="preserve">  paymentinstruction             : zcy_det_paymentinstruction;</t>
  </si>
  <si>
    <t xml:space="preserve">  payeename                      : zcy_det_payeename;</t>
  </si>
  <si>
    <t xml:space="preserve">  payeeaccountnumber             : zcy_det_payeeaccountnumber;</t>
  </si>
  <si>
    <t xml:space="preserve">  paymentamountdue               : zcy_det_paymentamountdue;</t>
  </si>
  <si>
    <t xml:space="preserve">  ifsc                           : zcy_det_ifsc;</t>
  </si>
  <si>
    <t xml:space="preserve">  credittransfer                 : zcy_det_credittransfer;</t>
  </si>
  <si>
    <t xml:space="preserve">  directdebit                    : zcy_det_directdebit;</t>
  </si>
  <si>
    <t xml:space="preserve">  creditdays                     : zcy_det_creditdays;</t>
  </si>
  <si>
    <t xml:space="preserve">  creditavaileddate              : zcy_det_creditavaileddate;</t>
  </si>
  <si>
    <t xml:space="preserve">  creditreversaldate             : zcy_det_creditreversaldate;</t>
  </si>
  <si>
    <t xml:space="preserve">  refdocumentremarks             : zcy_det_refdocumentremarks;</t>
  </si>
  <si>
    <t xml:space="preserve">  refdocumentperiodstartdate     : zcy_det_refdocumentperiodstart;</t>
  </si>
  <si>
    <t xml:space="preserve">  refdocumentperiodenddate       : zcy_det_refdocumentperiodendda;</t>
  </si>
  <si>
    <t xml:space="preserve">  invno                          : zcy_det_invno;</t>
  </si>
  <si>
    <t xml:space="preserve">  invdt                          : zcy_det_invdt;</t>
  </si>
  <si>
    <t xml:space="preserve">  refcontractdetails             : zcy_det_refcontractdetails;</t>
  </si>
  <si>
    <t xml:space="preserve">  additionalsupportingdocumentde : zcy_det_additionalsupportingdo;</t>
  </si>
  <si>
    <t xml:space="preserve">  portcode                       : zcy_det_portcode;</t>
  </si>
  <si>
    <t xml:space="preserve">  documentcurrencycode           : zcy_det_documentcurrencycode;</t>
  </si>
  <si>
    <t xml:space="preserve">  destinationcountry             : zcy_det_destinationcountry;</t>
  </si>
  <si>
    <t xml:space="preserve">  pos                            : zcy_det_pos;</t>
  </si>
  <si>
    <t xml:space="preserve">  documentvalue                  : zcy_det_documentvalue;</t>
  </si>
  <si>
    <t xml:space="preserve">  documentdiscount               : zcy_det_documentdiscount;</t>
  </si>
  <si>
    <t xml:space="preserve">  documentothercharges           : zcy_det_documentothercharges;</t>
  </si>
  <si>
    <t xml:space="preserve">  documentvalueinforeigncurrency : zcy_det_documentvalueinforeign;</t>
  </si>
  <si>
    <t xml:space="preserve">  roundoffamount                 : zcy_det_roundoffamount;</t>
  </si>
  <si>
    <t xml:space="preserve">  differentialpercentage         : zcy_det_differentialpercentage;</t>
  </si>
  <si>
    <t xml:space="preserve">  reversecharge                  : zcy_det_reversecharge;</t>
  </si>
  <si>
    <t xml:space="preserve">  claimrefund                    : zcy_det_claimrefund;</t>
  </si>
  <si>
    <t xml:space="preserve">  underigstact                   : zcy_det_underigstact;</t>
  </si>
  <si>
    <t xml:space="preserve">  refundeligibility              : zcy_det_refundeligibility;</t>
  </si>
  <si>
    <t xml:space="preserve">  pnroruniquenumber              : zcy_det_pnroruniquenumber;</t>
  </si>
  <si>
    <t xml:space="preserve">  availprovisionalitc            : zcy_det_availprovisionalitc;</t>
  </si>
  <si>
    <t xml:space="preserve">  originalstatecode              : zcy_det_originalstatecode;</t>
  </si>
  <si>
    <t xml:space="preserve">  originaldocumentnumber         : zcy_det_originaldocumentnumber;</t>
  </si>
  <si>
    <t xml:space="preserve">  originaldocumentdate           : zcy_det_originaldocumentdate;</t>
  </si>
  <si>
    <t xml:space="preserve">  originalreturnperiod           : zcy_det_originalreturnperiod;</t>
  </si>
  <si>
    <t xml:space="preserve">  originaltaxablevalue           : zcy_det_originaltaxablevalue;</t>
  </si>
  <si>
    <t xml:space="preserve">  toemailaddresses               : zcy_det_toemailaddresses;</t>
  </si>
  <si>
    <t xml:space="preserve">  tomobilenumbers                : zcy_det_tomobilenumbers;</t>
  </si>
  <si>
    <t xml:space="preserve">  jworiginaldocumentnumber       : zcy_det_jworiginaldocumentnumb;</t>
  </si>
  <si>
    <t xml:space="preserve">  jworiginaldocumentdate         : zcy_det_jworiginaldocumentdate;</t>
  </si>
  <si>
    <t xml:space="preserve">  jwdocumentnumber               : zcy_det_jwdocumentnumber;</t>
  </si>
  <si>
    <t xml:space="preserve">  jwdocumentdate                 : zcy_det_jwdocumentdate;</t>
  </si>
  <si>
    <t xml:space="preserve">  autodraftsource                : zcy_det_autodraftsource;</t>
  </si>
  <si>
    <t xml:space="preserve">  irngenerationdate              : zcy_det_irngenerationdate;</t>
  </si>
  <si>
    <t xml:space="preserve">  isamendment                    : zcy_det_isamendment;</t>
  </si>
  <si>
    <t xml:space="preserve">  isavailableingstr2b            : zcy_det_isavailableingstr2b;</t>
  </si>
  <si>
    <t xml:space="preserve">  itcavailability                : zcy_det_itcavailability;</t>
  </si>
  <si>
    <t xml:space="preserve">  itcunavailabilityreason        : zcy_det_itcunavailabilityreaso;</t>
  </si>
  <si>
    <t xml:space="preserve">  custom2                        : zcy_det_custom2;</t>
  </si>
  <si>
    <t xml:space="preserve">  custom3                        : zcy_det_custom3;</t>
  </si>
  <si>
    <t xml:space="preserve">  custom5                        : zcy_det_custom5;</t>
  </si>
  <si>
    <t xml:space="preserve">  custom6                        : zcy_det_custom6;</t>
  </si>
  <si>
    <t xml:space="preserve">  custom7                        : zcy_det_custom7;</t>
  </si>
  <si>
    <t xml:space="preserve">  custom8                        : zcy_det_custom8;</t>
  </si>
  <si>
    <t xml:space="preserve">  custom10                       : zcy_det_custom10;</t>
  </si>
  <si>
    <t xml:space="preserve">  custom20                       : zcy_det_custom20;</t>
  </si>
  <si>
    <t xml:space="preserve">  natureofjwdone                 : zcy_det_natureofjwdone;</t>
  </si>
  <si>
    <t xml:space="preserve">  lossunitofmeasure              : zcy_det_lossunitofmeasure;</t>
  </si>
  <si>
    <t xml:space="preserve">  @Semantics.quantity.unitOfMeasure : 'vbap.zieme'</t>
  </si>
  <si>
    <t xml:space="preserve">  losstotalquantity              : zcy_det_losstotalquantity;</t>
  </si>
  <si>
    <t xml:space="preserve">  pusherrors                     : zcy_det_pusherrors;</t>
  </si>
  <si>
    <t xml:space="preserve">  pushstatus                     : zcy_det_pushstatus;</t>
  </si>
  <si>
    <t xml:space="preserve">  gstaction                      : zcy_det_gstaction;</t>
  </si>
  <si>
    <t xml:space="preserve">  reconciliationsection          : zcy_det_reconciliationsection;</t>
  </si>
  <si>
    <t xml:space="preserve">  pushdate                       : zcy_det_pushdate;</t>
  </si>
  <si>
    <t xml:space="preserve">  cancelleddate                  : zcy_det_cancelleddate;</t>
  </si>
  <si>
    <t xml:space="preserve">  ispregstregime                 : zcy_det_ispregstregime;</t>
  </si>
  <si>
    <t xml:space="preserve">  amendedtype                    : zcy_det_amendedtype;</t>
  </si>
  <si>
    <t xml:space="preserve">  isgstr3bfiled                  : zcy_det_isgstr3bfiled;</t>
  </si>
  <si>
    <t xml:space="preserve">  isgstr3bfildate                : zcy_det_is3bfilingdate;</t>
  </si>
  <si>
    <t xml:space="preserve">  filingdate                     : zcy_det_filingdate;</t>
  </si>
  <si>
    <t xml:space="preserve">  filingreturnperiod             : zcy_det_filingreturnperiod;</t>
  </si>
  <si>
    <t xml:space="preserve">  filingstatus                   : zcy_det_filingstatus;</t>
  </si>
  <si>
    <t xml:space="preserve">  isservice                      : zcy_det_isservice;</t>
  </si>
  <si>
    <t xml:space="preserve">  hsn                            : zcy_det_hsn;</t>
  </si>
  <si>
    <t xml:space="preserve">  productcode                    : zcy_det_productcode;</t>
  </si>
  <si>
    <t xml:space="preserve">  name                           : zcy_det_name;</t>
  </si>
  <si>
    <t xml:space="preserve">  description                    : zcy_det_description;</t>
  </si>
  <si>
    <t xml:space="preserve">  barcode                        : zcy_det_barcode;</t>
  </si>
  <si>
    <t xml:space="preserve">  uqc                            : zcy_det_uqc;</t>
  </si>
  <si>
    <t xml:space="preserve">  quantity                       : zcy_det_quantity;</t>
  </si>
  <si>
    <t xml:space="preserve">  freequantity                   : zcy_det_freequantity;</t>
  </si>
  <si>
    <t xml:space="preserve">  @Semantics.amount.currencyCode : 'rv61a.koei1'</t>
  </si>
  <si>
    <t xml:space="preserve">  rate                           : zcy_det_rate;</t>
  </si>
  <si>
    <t xml:space="preserve">  cessrate                       : zcy_det_cessrate;</t>
  </si>
  <si>
    <t xml:space="preserve">  statecessrate                  : zcy_det_statecessrate;</t>
  </si>
  <si>
    <t xml:space="preserve">  cessnonadvaloremrate           : zcy_det_cessnonadvaloremrate;</t>
  </si>
  <si>
    <t xml:space="preserve">  priceperquantity               : zcy_det_priceperquantity;</t>
  </si>
  <si>
    <t xml:space="preserve">  @Semantics.amount.currencyCode : 'komk.waerk'</t>
  </si>
  <si>
    <t xml:space="preserve">  discountamount                 : zcy_det_discountamount;</t>
  </si>
  <si>
    <t xml:space="preserve">  grossamount                    : zcy_det_grossamount;</t>
  </si>
  <si>
    <t xml:space="preserve">  othercharges                   : zcy_det_othercharges;</t>
  </si>
  <si>
    <t xml:space="preserve">  taxablevalue                   : zcy_det_taxablevalue;</t>
  </si>
  <si>
    <t xml:space="preserve">  igstamount                     : zcy_det_igstamount;</t>
  </si>
  <si>
    <t xml:space="preserve">  cgstamount                     : zcy_det_cgstamount;</t>
  </si>
  <si>
    <t xml:space="preserve">  sgstamount                     : zcy_det_sgstamount;</t>
  </si>
  <si>
    <t xml:space="preserve">  cessamount                     : zcy_det_cessamount;</t>
  </si>
  <si>
    <t xml:space="preserve">  statecessamount                : zcy_det_statecessamount;</t>
  </si>
  <si>
    <t xml:space="preserve">  cessnonadvaloremamount         : zcy_det_cessnonadvaloremamount;</t>
  </si>
  <si>
    <t xml:space="preserve">  statecessnonadvaloremamount    : zcy_det_statecessnonadvalorema;</t>
  </si>
  <si>
    <t xml:space="preserve">  taxtype                        : zcy_det_taxtype;</t>
  </si>
  <si>
    <t xml:space="preserve">  itceligibility                 : zcy_det_itceligibility;</t>
  </si>
  <si>
    <t xml:space="preserve">  itcigstamount                  : zcy_det_itcigstamount;</t>
  </si>
  <si>
    <t xml:space="preserve">  itccgstamount                  : zcy_det_itccgstamount;</t>
  </si>
  <si>
    <t xml:space="preserve">  itcsgstamount                  : zcy_det_itcsgstamount;</t>
  </si>
  <si>
    <t xml:space="preserve">  itccessamount                  : zcy_det_itccessamount;</t>
  </si>
  <si>
    <t xml:space="preserve">  customitem1                    : zcy_det_customitem1;</t>
  </si>
  <si>
    <t xml:space="preserve">  customitem2                    : zcy_det_customitem2;</t>
  </si>
  <si>
    <t xml:space="preserve">  customitem3                    : zcy_det_customitem3;</t>
  </si>
  <si>
    <t xml:space="preserve">  customitem4                    : zcy_det_customitem4;</t>
  </si>
  <si>
    <t xml:space="preserve">  customitem5                    : zcy_det_customitem5;</t>
  </si>
  <si>
    <t xml:space="preserve">  customitem6                    : zcy_det_customitem6;</t>
  </si>
  <si>
    <t xml:space="preserve">  customitem7                    : zcy_det_customitem7;</t>
  </si>
  <si>
    <t xml:space="preserve">  customitem8                    : zcy_det_customitem8;</t>
  </si>
  <si>
    <t xml:space="preserve">  customitem9                    : zcy_det_customitem9;</t>
  </si>
  <si>
    <t xml:space="preserve">  customitem10                   : zcy_det_customitem10;</t>
  </si>
  <si>
    <t xml:space="preserve">  cpgstin                        : zcy_det_cpgstin;</t>
  </si>
  <si>
    <t xml:space="preserve">  cptradename                    : zcy_det_cptradename;</t>
  </si>
  <si>
    <t xml:space="preserve">  cplegalname                    : zcy_det_cplegalname;</t>
  </si>
  <si>
    <t xml:space="preserve">  cporiginaldocumentnumber       : zcy_det_cporiginaldocumentnum;</t>
  </si>
  <si>
    <t xml:space="preserve">  cporiginaldocumentdate         : zcy_det_cporiginaldocumentdate;</t>
  </si>
  <si>
    <t xml:space="preserve">  cpportcode                     : zcy_det_cpportcode;</t>
  </si>
  <si>
    <t xml:space="preserve">  cpdocumentnumber               : zcy_det_cpdocumentnumber;</t>
  </si>
  <si>
    <t xml:space="preserve">  cpdocumentdate                 : zcy_det_cpdocumentdate;</t>
  </si>
  <si>
    <t xml:space="preserve">  cpvalue                        : zcy_det_cpvalue;</t>
  </si>
  <si>
    <t xml:space="preserve">  cppos                          : zcy_det_cppos;</t>
  </si>
  <si>
    <t xml:space="preserve">  cpreversecharge                : zcy_det_cpreversecharge;</t>
  </si>
  <si>
    <t xml:space="preserve">  cpdifferentialpercentage       : zcy_det_cpdifferentialpercent;</t>
  </si>
  <si>
    <t xml:space="preserve">  cptransactiontype              : zcy_det_cptransactiontype;</t>
  </si>
  <si>
    <t xml:space="preserve">  cptaxpayertype                 : zcy_det_cptaxpayertype;</t>
  </si>
  <si>
    <t xml:space="preserve">  cptaxablevalue                 : zcy_det_cptaxablevalue;</t>
  </si>
  <si>
    <t xml:space="preserve">  cprate                         : zcy_det_cprate;</t>
  </si>
  <si>
    <t xml:space="preserve">  cpigstamount                   : zcy_det_cpigstamount;</t>
  </si>
  <si>
    <t xml:space="preserve">  cpcgstamount                   : zcy_det_cpcgstamount;</t>
  </si>
  <si>
    <t xml:space="preserve">  cpsgstamount                   : zcy_det_cpsgstamount;</t>
  </si>
  <si>
    <t xml:space="preserve">  cpcessamount                   : zcy_det_cpcessamount;</t>
  </si>
  <si>
    <t xml:space="preserve">  cpfilingstatus                 : zcy_det_cpfilingstatus;</t>
  </si>
  <si>
    <t xml:space="preserve">  cpsuppliercancellationdate     : zcy_det_cpsuppliercancellation;</t>
  </si>
  <si>
    <t xml:space="preserve">  cpfilingdate                   : zcy_det_cpfilingdate;</t>
  </si>
  <si>
    <t xml:space="preserve">  cpfilingreturnperiod           : zcy_det_cpfilingreturnperiod;</t>
  </si>
  <si>
    <t xml:space="preserve">  cpautodraftsource              : zcy_det_cpautodraftsource;</t>
  </si>
  <si>
    <t xml:space="preserve">  cpirn                          : zcy_det_cpirn;</t>
  </si>
  <si>
    <t xml:space="preserve">  cpirngenerationdate            : zcy_det_cpirngenerationdate;</t>
  </si>
  <si>
    <t xml:space="preserve">  cprefprecedingdocumentdetails  : zcy_det_cprefprecedingdocument;</t>
  </si>
  <si>
    <t xml:space="preserve">  cpavailableingstr2b            : zcy_det_cpavailableingstr2b;</t>
  </si>
  <si>
    <t xml:space="preserve">  cpgstr2breturnperiod           : zcy_det_cpgstr2breturnperiod;</t>
  </si>
  <si>
    <t xml:space="preserve">  cpavailableingstr98a           : zcy_det_cpavailableingstr98a;</t>
  </si>
  <si>
    <t xml:space="preserve">  cpitcavailability              : zcy_det_cpitcavailability;</t>
  </si>
  <si>
    <t xml:space="preserve">  cpitcunavailabilityreason      : zcy_det_cpitcunavailabilityrea;</t>
  </si>
  <si>
    <t xml:space="preserve">  cpitcclaimmonth                : zcy_det_cpitcclaimmonth;</t>
  </si>
  <si>
    <t xml:space="preserve">  cpreturnperiod                 : zcy_det_cpreturnperiod;</t>
  </si>
  <si>
    <t xml:space="preserve">  cpisamendment                  : zcy_det_cpisamendment;</t>
  </si>
  <si>
    <t xml:space="preserve">  cporiginalreturnperiod         : zcy_det_cporiginalreturnperiod;</t>
  </si>
  <si>
    <t xml:space="preserve">  cpamendedtype                  : zcy_det_cpamendedtype;</t>
  </si>
  <si>
    <t xml:space="preserve">  valuediff                      : zcy_det_valuediff;</t>
  </si>
  <si>
    <t xml:space="preserve">  taxablediff                    : zcy_det_taxablediff;</t>
  </si>
  <si>
    <t xml:space="preserve">  taxdiff                        : zcy_det_taxdiff;</t>
  </si>
  <si>
    <t xml:space="preserve">  reason                         : zcy_det_reason;</t>
  </si>
  <si>
    <t xml:space="preserve">  rec_date                       : datum;</t>
  </si>
  <si>
    <t xml:space="preserve">  rec_time                       : uzeit;</t>
  </si>
  <si>
    <t xml:space="preserve">  p_pbf                          : abap_boolean;</t>
  </si>
  <si>
    <t xml:space="preserve">  p_jv                           : abap_boolean;</t>
  </si>
  <si>
    <t xml:space="preserve">  p_dbf                          : abap_boolean;</t>
  </si>
  <si>
    <t>c13</t>
  </si>
  <si>
    <t>c70</t>
  </si>
  <si>
    <t>c10</t>
  </si>
  <si>
    <t>c12</t>
  </si>
  <si>
    <t>c18</t>
  </si>
  <si>
    <t>cur 13,2</t>
  </si>
  <si>
    <t>c11</t>
  </si>
  <si>
    <t>c5</t>
  </si>
  <si>
    <t>quan 13,3</t>
  </si>
  <si>
    <t>c30</t>
  </si>
  <si>
    <t>c14</t>
  </si>
  <si>
    <t>c7</t>
  </si>
  <si>
    <t>c64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</si>
</sst>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2328"/>
      <name val="Consolas"/>
      <family val="3"/>
    </font>
    <font>
      <sz val="10"/>
      <color rgb="FF0A3069"/>
      <name val="Consolas"/>
      <family val="3"/>
    </font>
    <font>
      <sz val="10"/>
      <color rgb="FFCF222E"/>
      <name val="Consolas"/>
      <family val="3"/>
    </font>
    <font>
      <sz val="10"/>
      <color rgb="FF0550AE"/>
      <name val="Consolas"/>
      <family val="3"/>
    </font>
    <font>
      <sz val="10"/>
      <color rgb="FF000000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0" fillId="33" borderId="0" xfId="0" applyFont="1" applyFill="1" applyAlignment="1">
      <alignment horizontal="left" vertical="center" indent="1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8B35-2853-4C2C-AACE-BB2AA5ADEB45}">
  <dimension ref="B1:T146"/>
  <sheetViews>
    <sheetView topLeftCell="C1" workbookViewId="0">
      <pane ySplit="7" topLeftCell="A123" activePane="bottomLeft" state="frozen"/>
      <selection pane="bottomLeft" activeCell="F146" sqref="F146"/>
    </sheetView>
  </sheetViews>
  <sheetFormatPr defaultRowHeight="15" x14ac:dyDescent="0.25"/>
  <cols>
    <col min="2" max="2" width="56.28515625" customWidth="1"/>
    <col min="5" max="5" width="56.28515625" customWidth="1"/>
    <col min="6" max="6" width="14.5703125" customWidth="1"/>
    <col min="8" max="8" width="56.28515625" customWidth="1"/>
    <col min="12" max="12" width="9.42578125" bestFit="1" customWidth="1"/>
    <col min="13" max="13" width="16.140625" bestFit="1" customWidth="1"/>
    <col min="15" max="15" width="39" bestFit="1" customWidth="1"/>
  </cols>
  <sheetData>
    <row r="1" spans="2:11" x14ac:dyDescent="0.25">
      <c r="E1" t="s">
        <v>540</v>
      </c>
    </row>
    <row r="2" spans="2:11" x14ac:dyDescent="0.25">
      <c r="B2" s="1" t="s">
        <v>106</v>
      </c>
    </row>
    <row r="3" spans="2:11" x14ac:dyDescent="0.25">
      <c r="B3" s="1" t="s">
        <v>7</v>
      </c>
    </row>
    <row r="4" spans="2:11" x14ac:dyDescent="0.25">
      <c r="B4" s="1" t="s">
        <v>107</v>
      </c>
    </row>
    <row r="5" spans="2:11" x14ac:dyDescent="0.25">
      <c r="B5" s="1" t="s">
        <v>108</v>
      </c>
      <c r="E5" s="1" t="s">
        <v>202</v>
      </c>
      <c r="F5" s="1"/>
      <c r="G5" t="s">
        <v>289</v>
      </c>
      <c r="H5" s="1" t="s">
        <v>211</v>
      </c>
      <c r="I5" t="s">
        <v>289</v>
      </c>
    </row>
    <row r="6" spans="2:11" x14ac:dyDescent="0.25">
      <c r="B6" s="1" t="s">
        <v>109</v>
      </c>
      <c r="E6" s="1" t="s">
        <v>7</v>
      </c>
      <c r="F6" s="1"/>
      <c r="H6" s="1" t="s">
        <v>7</v>
      </c>
    </row>
    <row r="7" spans="2:11" x14ac:dyDescent="0.25">
      <c r="B7" s="3" t="s">
        <v>110</v>
      </c>
      <c r="E7" s="3" t="s">
        <v>203</v>
      </c>
      <c r="F7" s="3"/>
      <c r="H7" s="3" t="s">
        <v>212</v>
      </c>
    </row>
    <row r="8" spans="2:11" x14ac:dyDescent="0.25">
      <c r="B8" s="1" t="s">
        <v>0</v>
      </c>
      <c r="E8" s="1" t="s">
        <v>0</v>
      </c>
      <c r="F8" s="1"/>
      <c r="H8" s="2"/>
      <c r="K8" t="s">
        <v>289</v>
      </c>
    </row>
    <row r="9" spans="2:11" x14ac:dyDescent="0.25">
      <c r="B9" s="1" t="s">
        <v>111</v>
      </c>
      <c r="D9" t="str">
        <f>IF(ISNUMBER(SEARCH("@",IFERROR(TRIM(SUBSTITUTE(MID(B9,1,FIND(":",B9)-1),"key","")),""))),"",IFERROR(TRIM(SUBSTITUTE(MID(B9,1,FIND(":",B9)-1),"key","")),""))</f>
        <v>mandt</v>
      </c>
      <c r="E9" s="1" t="s">
        <v>117</v>
      </c>
      <c r="F9" s="1"/>
      <c r="G9" t="str">
        <f>IF(ISNUMBER(SEARCH("@",IFERROR(TRIM(SUBSTITUTE(MID(E9,1,FIND(":",E9)-1),"key","")),""))),"",IFERROR(TRIM(SUBSTITUTE(MID(E9,1,FIND(":",E9)-1),"key","")),""))</f>
        <v>procstat</v>
      </c>
      <c r="H9" s="1" t="s">
        <v>204</v>
      </c>
      <c r="J9" t="str">
        <f>IF(ISNUMBER(SEARCH("@",IFERROR(TRIM(SUBSTITUTE(MID(H9,1,FIND(":",H9)-1),"key","")),""))),"",IFERROR(TRIM(SUBSTITUTE(MID(H9,1,FIND(":",H9)-1),"key","")),""))</f>
        <v/>
      </c>
      <c r="K9" t="s">
        <v>289</v>
      </c>
    </row>
    <row r="10" spans="2:11" x14ac:dyDescent="0.25">
      <c r="B10" s="1" t="s">
        <v>112</v>
      </c>
      <c r="C10" t="s">
        <v>523</v>
      </c>
      <c r="D10" t="str">
        <f t="shared" ref="D10:D22" si="0">IF(ISNUMBER(SEARCH("@",IFERROR(TRIM(SUBSTITUTE(MID(B10,1,FIND(":",B10)-1),"key","")),""))),"",IFERROR(TRIM(SUBSTITUTE(MID(B10,1,FIND(":",B10)-1),"key","")),""))</f>
        <v>custom1</v>
      </c>
      <c r="E10" s="1" t="s">
        <v>118</v>
      </c>
      <c r="F10" s="1"/>
      <c r="G10" t="str">
        <f t="shared" ref="G10:G73" si="1">IF(ISNUMBER(SEARCH("@",IFERROR(TRIM(SUBSTITUTE(MID(E10,1,FIND(":",E10)-1),"key","")),""))),"",IFERROR(TRIM(SUBSTITUTE(MID(E10,1,FIND(":",E10)-1),"key","")),""))</f>
        <v>cbox</v>
      </c>
      <c r="H10" s="1" t="s">
        <v>213</v>
      </c>
      <c r="J10" t="str">
        <f t="shared" ref="J10:J73" si="2">IF(ISNUMBER(SEARCH("@",IFERROR(TRIM(SUBSTITUTE(MID(H10,1,FIND(":",H10)-1),"key","")),""))),"",IFERROR(TRIM(SUBSTITUTE(MID(H10,1,FIND(":",H10)-1),"key","")),""))</f>
        <v>fi_doc_value</v>
      </c>
      <c r="K10" t="s">
        <v>289</v>
      </c>
    </row>
    <row r="11" spans="2:11" x14ac:dyDescent="0.25">
      <c r="B11" s="1" t="s">
        <v>113</v>
      </c>
      <c r="C11" t="s">
        <v>523</v>
      </c>
      <c r="D11" t="str">
        <f t="shared" si="0"/>
        <v>custom4</v>
      </c>
      <c r="E11" s="1" t="s">
        <v>119</v>
      </c>
      <c r="F11" s="1"/>
      <c r="G11" t="str">
        <f t="shared" si="1"/>
        <v>reco_stat</v>
      </c>
      <c r="H11" s="2"/>
      <c r="J11" t="str">
        <f t="shared" si="2"/>
        <v/>
      </c>
      <c r="K11" t="s">
        <v>289</v>
      </c>
    </row>
    <row r="12" spans="2:11" x14ac:dyDescent="0.25">
      <c r="B12" s="1" t="s">
        <v>114</v>
      </c>
      <c r="C12" t="s">
        <v>523</v>
      </c>
      <c r="D12" t="str">
        <f t="shared" si="0"/>
        <v>custom9</v>
      </c>
      <c r="E12" s="2"/>
      <c r="F12" s="2"/>
      <c r="G12" t="str">
        <f t="shared" si="1"/>
        <v/>
      </c>
      <c r="H12" s="1" t="s">
        <v>204</v>
      </c>
      <c r="J12" t="str">
        <f t="shared" si="2"/>
        <v/>
      </c>
      <c r="K12" t="s">
        <v>289</v>
      </c>
    </row>
    <row r="13" spans="2:11" x14ac:dyDescent="0.25">
      <c r="B13" s="2"/>
      <c r="D13" t="str">
        <f t="shared" si="0"/>
        <v/>
      </c>
      <c r="E13" s="1" t="s">
        <v>120</v>
      </c>
      <c r="F13" s="1" t="s">
        <v>890</v>
      </c>
      <c r="G13" t="str">
        <f t="shared" si="1"/>
        <v>financialyear</v>
      </c>
      <c r="H13" s="1" t="s">
        <v>214</v>
      </c>
      <c r="J13" t="str">
        <f t="shared" si="2"/>
        <v>fi_tax_value</v>
      </c>
      <c r="K13" t="s">
        <v>289</v>
      </c>
    </row>
    <row r="14" spans="2:11" x14ac:dyDescent="0.25">
      <c r="B14" s="1" t="s">
        <v>1</v>
      </c>
      <c r="C14" t="s">
        <v>524</v>
      </c>
      <c r="D14" t="str">
        <f t="shared" si="0"/>
        <v>returnperiod</v>
      </c>
      <c r="E14" s="1" t="s">
        <v>121</v>
      </c>
      <c r="F14" s="1" t="s">
        <v>890</v>
      </c>
      <c r="G14" t="str">
        <f t="shared" si="1"/>
        <v>returnperiod</v>
      </c>
      <c r="H14" s="2"/>
      <c r="J14" t="str">
        <f t="shared" si="2"/>
        <v/>
      </c>
      <c r="K14" t="s">
        <v>289</v>
      </c>
    </row>
    <row r="15" spans="2:11" x14ac:dyDescent="0.25">
      <c r="B15" s="1" t="s">
        <v>2</v>
      </c>
      <c r="C15" t="s">
        <v>525</v>
      </c>
      <c r="D15" t="str">
        <f t="shared" si="0"/>
        <v>locationgstin</v>
      </c>
      <c r="E15" s="1" t="s">
        <v>122</v>
      </c>
      <c r="F15" s="1" t="s">
        <v>891</v>
      </c>
      <c r="G15" t="str">
        <f t="shared" si="1"/>
        <v>locationgstin</v>
      </c>
      <c r="H15" s="1" t="s">
        <v>215</v>
      </c>
      <c r="J15" t="str">
        <f t="shared" si="2"/>
        <v>fi_tax_code</v>
      </c>
      <c r="K15" t="s">
        <v>289</v>
      </c>
    </row>
    <row r="16" spans="2:11" x14ac:dyDescent="0.25">
      <c r="B16" s="1" t="s">
        <v>3</v>
      </c>
      <c r="C16" t="s">
        <v>526</v>
      </c>
      <c r="D16" t="str">
        <f t="shared" si="0"/>
        <v>documentnumber</v>
      </c>
      <c r="E16" s="1" t="s">
        <v>123</v>
      </c>
      <c r="F16" s="1" t="s">
        <v>892</v>
      </c>
      <c r="G16" t="str">
        <f t="shared" si="1"/>
        <v>documentnumber</v>
      </c>
      <c r="H16" s="2"/>
      <c r="J16" t="str">
        <f t="shared" si="2"/>
        <v/>
      </c>
      <c r="K16" t="s">
        <v>289</v>
      </c>
    </row>
    <row r="17" spans="2:20" x14ac:dyDescent="0.25">
      <c r="B17" s="1" t="s">
        <v>4</v>
      </c>
      <c r="C17" t="s">
        <v>527</v>
      </c>
      <c r="D17" t="str">
        <f t="shared" si="0"/>
        <v>documentdate</v>
      </c>
      <c r="E17" s="1" t="s">
        <v>124</v>
      </c>
      <c r="F17" s="1"/>
      <c r="G17" t="str">
        <f t="shared" si="1"/>
        <v>documentdate</v>
      </c>
      <c r="H17" s="1" t="s">
        <v>204</v>
      </c>
      <c r="J17" t="str">
        <f t="shared" si="2"/>
        <v/>
      </c>
      <c r="K17" t="s">
        <v>289</v>
      </c>
    </row>
    <row r="18" spans="2:20" x14ac:dyDescent="0.25">
      <c r="B18" s="1" t="s">
        <v>5</v>
      </c>
      <c r="C18" t="s">
        <v>524</v>
      </c>
      <c r="D18" t="str">
        <f t="shared" si="0"/>
        <v>financialyear</v>
      </c>
      <c r="E18" s="1" t="s">
        <v>125</v>
      </c>
      <c r="F18" s="1" t="s">
        <v>893</v>
      </c>
      <c r="G18" t="str">
        <f t="shared" si="1"/>
        <v>custom1</v>
      </c>
      <c r="H18" s="1" t="s">
        <v>216</v>
      </c>
      <c r="J18" t="str">
        <f t="shared" si="2"/>
        <v>fi_tax_rate</v>
      </c>
      <c r="K18" t="s">
        <v>289</v>
      </c>
    </row>
    <row r="19" spans="2:20" x14ac:dyDescent="0.25">
      <c r="B19" s="1" t="s">
        <v>115</v>
      </c>
      <c r="D19" t="str">
        <f t="shared" si="0"/>
        <v>currency</v>
      </c>
      <c r="E19" s="1" t="s">
        <v>126</v>
      </c>
      <c r="F19" s="1" t="s">
        <v>893</v>
      </c>
      <c r="G19" t="str">
        <f t="shared" si="1"/>
        <v>custom4</v>
      </c>
      <c r="H19" s="2"/>
      <c r="J19" t="str">
        <f t="shared" si="2"/>
        <v/>
      </c>
      <c r="K19" t="s">
        <v>289</v>
      </c>
    </row>
    <row r="20" spans="2:20" x14ac:dyDescent="0.25">
      <c r="B20" s="2"/>
      <c r="D20" t="str">
        <f t="shared" si="0"/>
        <v/>
      </c>
      <c r="E20" s="1" t="s">
        <v>127</v>
      </c>
      <c r="F20" s="1" t="s">
        <v>893</v>
      </c>
      <c r="G20" t="str">
        <f t="shared" si="1"/>
        <v>custom9</v>
      </c>
      <c r="H20" s="1" t="s">
        <v>217</v>
      </c>
      <c r="I20" t="s">
        <v>528</v>
      </c>
      <c r="J20" t="str">
        <f t="shared" si="2"/>
        <v>status</v>
      </c>
      <c r="K20" t="s">
        <v>289</v>
      </c>
      <c r="L20" t="str">
        <f t="shared" ref="L20" si="3">SUBSTITUTE(TRIM(RIGHT(SUBSTITUTE(TRIM(H20),"_",REPT(" ",100)),100)),";","")</f>
        <v>status</v>
      </c>
      <c r="M20" t="str">
        <f t="shared" ref="M20" si="4">INDEX($T$32:$T$47,MATCH(L20,$S$32:$S$47,0))</f>
        <v>abap.char(1);</v>
      </c>
    </row>
    <row r="21" spans="2:20" x14ac:dyDescent="0.25">
      <c r="B21" s="1" t="s">
        <v>116</v>
      </c>
      <c r="D21" t="str">
        <f t="shared" si="0"/>
        <v/>
      </c>
      <c r="E21" s="1" t="s">
        <v>204</v>
      </c>
      <c r="F21" s="1"/>
      <c r="G21" t="str">
        <f t="shared" si="1"/>
        <v/>
      </c>
      <c r="H21" s="1" t="s">
        <v>218</v>
      </c>
      <c r="J21" t="str">
        <f t="shared" si="2"/>
        <v>gst_part</v>
      </c>
      <c r="K21" t="s">
        <v>289</v>
      </c>
    </row>
    <row r="22" spans="2:20" x14ac:dyDescent="0.25">
      <c r="B22" s="1" t="s">
        <v>6</v>
      </c>
      <c r="D22" t="str">
        <f t="shared" si="0"/>
        <v/>
      </c>
      <c r="E22" s="1" t="s">
        <v>128</v>
      </c>
      <c r="F22" s="1" t="s">
        <v>894</v>
      </c>
      <c r="G22" t="str">
        <f t="shared" si="1"/>
        <v>documentvalue</v>
      </c>
      <c r="H22" s="1" t="s">
        <v>219</v>
      </c>
      <c r="J22" t="str">
        <f t="shared" si="2"/>
        <v>vendor</v>
      </c>
      <c r="K22" t="s">
        <v>289</v>
      </c>
    </row>
    <row r="23" spans="2:20" x14ac:dyDescent="0.25">
      <c r="E23" s="1" t="s">
        <v>129</v>
      </c>
      <c r="F23" s="1" t="s">
        <v>895</v>
      </c>
      <c r="G23" t="str">
        <f t="shared" si="1"/>
        <v>pushstatus</v>
      </c>
      <c r="H23" s="1" t="s">
        <v>220</v>
      </c>
      <c r="J23" t="str">
        <f t="shared" si="2"/>
        <v>mindk</v>
      </c>
      <c r="K23" t="s">
        <v>289</v>
      </c>
    </row>
    <row r="24" spans="2:20" x14ac:dyDescent="0.25">
      <c r="E24" s="1" t="s">
        <v>130</v>
      </c>
      <c r="F24" s="1" t="s">
        <v>893</v>
      </c>
      <c r="G24" t="str">
        <f t="shared" si="1"/>
        <v>pushdate</v>
      </c>
      <c r="H24" s="1" t="s">
        <v>221</v>
      </c>
      <c r="I24" t="s">
        <v>528</v>
      </c>
      <c r="J24" t="str">
        <f t="shared" si="2"/>
        <v>vendor_block_type</v>
      </c>
      <c r="K24" t="s">
        <v>289</v>
      </c>
      <c r="L24" t="str">
        <f t="shared" ref="L24" si="5">SUBSTITUTE(TRIM(RIGHT(SUBSTITUTE(TRIM(H24),"_",REPT(" ",100)),100)),";","")</f>
        <v>type</v>
      </c>
      <c r="M24" t="str">
        <f t="shared" ref="M24" si="6">INDEX($T$32:$T$47,MATCH(L24,$S$32:$S$47,0))</f>
        <v>abap.char(1);</v>
      </c>
    </row>
    <row r="25" spans="2:20" x14ac:dyDescent="0.25">
      <c r="E25" s="1" t="s">
        <v>131</v>
      </c>
      <c r="F25" s="1" t="s">
        <v>893</v>
      </c>
      <c r="G25" t="str">
        <f t="shared" si="1"/>
        <v>reconciliationsection</v>
      </c>
      <c r="H25" s="1" t="s">
        <v>222</v>
      </c>
      <c r="J25" t="str">
        <f t="shared" si="2"/>
        <v>payment_due_date</v>
      </c>
      <c r="K25" t="s">
        <v>289</v>
      </c>
    </row>
    <row r="26" spans="2:20" x14ac:dyDescent="0.25">
      <c r="E26" s="1" t="s">
        <v>132</v>
      </c>
      <c r="F26" s="1" t="s">
        <v>896</v>
      </c>
      <c r="G26" t="str">
        <f t="shared" si="1"/>
        <v>reason</v>
      </c>
      <c r="H26" s="1" t="s">
        <v>223</v>
      </c>
      <c r="J26" t="str">
        <f t="shared" si="2"/>
        <v>clearing_no</v>
      </c>
      <c r="K26" t="s">
        <v>289</v>
      </c>
    </row>
    <row r="27" spans="2:20" x14ac:dyDescent="0.25">
      <c r="E27" s="1" t="s">
        <v>133</v>
      </c>
      <c r="F27" s="1" t="s">
        <v>893</v>
      </c>
      <c r="G27" t="str">
        <f t="shared" si="1"/>
        <v>filingdate</v>
      </c>
      <c r="H27" s="1" t="s">
        <v>224</v>
      </c>
      <c r="J27" t="str">
        <f t="shared" si="2"/>
        <v>clearing_date</v>
      </c>
      <c r="K27" t="s">
        <v>289</v>
      </c>
    </row>
    <row r="28" spans="2:20" x14ac:dyDescent="0.25">
      <c r="E28" s="1" t="s">
        <v>134</v>
      </c>
      <c r="F28" s="1" t="s">
        <v>893</v>
      </c>
      <c r="G28" t="str">
        <f t="shared" si="1"/>
        <v>filingreturnperiod</v>
      </c>
      <c r="H28" s="1" t="s">
        <v>225</v>
      </c>
      <c r="I28" t="s">
        <v>529</v>
      </c>
      <c r="J28" t="str">
        <f t="shared" si="2"/>
        <v>expected_filing_date</v>
      </c>
      <c r="K28" t="s">
        <v>289</v>
      </c>
      <c r="L28" t="str">
        <f t="shared" ref="L28" si="7">SUBSTITUTE(TRIM(RIGHT(SUBSTITUTE(TRIM(H28),"_",REPT(" ",100)),100)),";","")</f>
        <v>date</v>
      </c>
      <c r="M28" t="str">
        <f t="shared" ref="M28:M30" si="8">INDEX($T$32:$T$47,MATCH(L28,$S$32:$S$47,0))</f>
        <v>abap.dats;</v>
      </c>
      <c r="O28" t="str">
        <f>IFERROR(LEFT(H28,FIND(":",H28))&amp;" "&amp;M28,"")</f>
        <v xml:space="preserve">  expected_filing_date    : abap.dats;</v>
      </c>
    </row>
    <row r="29" spans="2:20" x14ac:dyDescent="0.25">
      <c r="E29" s="1" t="s">
        <v>135</v>
      </c>
      <c r="F29" s="1" t="s">
        <v>893</v>
      </c>
      <c r="G29" t="str">
        <f t="shared" si="1"/>
        <v>filingstatus</v>
      </c>
      <c r="H29" s="1" t="s">
        <v>226</v>
      </c>
      <c r="I29" t="s">
        <v>528</v>
      </c>
      <c r="J29" t="str">
        <f t="shared" si="2"/>
        <v>due_date_before_filing</v>
      </c>
      <c r="K29" t="s">
        <v>289</v>
      </c>
      <c r="L29" t="str">
        <f t="shared" ref="L29:L30" si="9">SUBSTITUTE(TRIM(RIGHT(SUBSTITUTE(TRIM(H29),"_",REPT(" ",100)),100)),";","")</f>
        <v>filing</v>
      </c>
      <c r="M29" t="str">
        <f t="shared" si="8"/>
        <v>abap.char(1);</v>
      </c>
      <c r="O29" t="str">
        <f t="shared" ref="O29:O92" si="10">IFERROR(LEFT(H29,FIND(":",H29))&amp;" "&amp;M29,"")</f>
        <v xml:space="preserve">  due_date_before_filing  : abap.char(1);</v>
      </c>
    </row>
    <row r="30" spans="2:20" x14ac:dyDescent="0.25">
      <c r="E30" s="2"/>
      <c r="F30" s="2"/>
      <c r="G30" t="str">
        <f t="shared" si="1"/>
        <v/>
      </c>
      <c r="H30" s="1" t="s">
        <v>227</v>
      </c>
      <c r="I30" t="s">
        <v>528</v>
      </c>
      <c r="J30" t="str">
        <f t="shared" si="2"/>
        <v>cleared_before_filing</v>
      </c>
      <c r="K30" t="s">
        <v>289</v>
      </c>
      <c r="L30" t="str">
        <f t="shared" si="9"/>
        <v>fil</v>
      </c>
      <c r="M30" t="str">
        <f t="shared" si="8"/>
        <v>abap.char(1);</v>
      </c>
      <c r="O30" t="str">
        <f t="shared" si="10"/>
        <v xml:space="preserve">  cleared_before_filing   : abap.char(1);</v>
      </c>
    </row>
    <row r="31" spans="2:20" x14ac:dyDescent="0.25">
      <c r="E31" s="1" t="s">
        <v>204</v>
      </c>
      <c r="F31" s="1"/>
      <c r="G31" t="str">
        <f t="shared" si="1"/>
        <v/>
      </c>
      <c r="H31" s="2"/>
      <c r="J31" t="str">
        <f t="shared" si="2"/>
        <v/>
      </c>
      <c r="K31" t="s">
        <v>289</v>
      </c>
      <c r="O31" t="str">
        <f t="shared" si="10"/>
        <v/>
      </c>
    </row>
    <row r="32" spans="2:20" x14ac:dyDescent="0.25">
      <c r="E32" s="1" t="s">
        <v>136</v>
      </c>
      <c r="F32" s="1" t="s">
        <v>897</v>
      </c>
      <c r="G32" t="str">
        <f t="shared" si="1"/>
        <v>rate</v>
      </c>
      <c r="H32" s="1" t="s">
        <v>228</v>
      </c>
      <c r="I32" t="s">
        <v>528</v>
      </c>
      <c r="J32" t="str">
        <f t="shared" si="2"/>
        <v>grc_check_applicable</v>
      </c>
      <c r="K32" t="s">
        <v>289</v>
      </c>
      <c r="L32" t="str">
        <f>SUBSTITUTE(TRIM(RIGHT(SUBSTITUTE(TRIM(H32),"_",REPT(" ",100)),100)),";","")</f>
        <v>appl</v>
      </c>
      <c r="M32" t="str">
        <f t="shared" ref="M32:M39" si="11">INDEX($T$32:$T$47,MATCH(L32,$S$32:$S$47,0))</f>
        <v>abap.char(1);</v>
      </c>
      <c r="O32" t="str">
        <f t="shared" si="10"/>
        <v xml:space="preserve">  grc_check_applicable    : abap.char(1);</v>
      </c>
      <c r="S32" t="s">
        <v>874</v>
      </c>
      <c r="T32" s="4" t="s">
        <v>861</v>
      </c>
    </row>
    <row r="33" spans="5:20" x14ac:dyDescent="0.25">
      <c r="E33" s="2"/>
      <c r="F33" s="2"/>
      <c r="G33" t="str">
        <f t="shared" si="1"/>
        <v/>
      </c>
      <c r="H33" s="1" t="s">
        <v>229</v>
      </c>
      <c r="I33" t="s">
        <v>527</v>
      </c>
      <c r="J33" t="str">
        <f t="shared" si="2"/>
        <v>grc_checked_on</v>
      </c>
      <c r="K33" t="s">
        <v>289</v>
      </c>
      <c r="L33" t="str">
        <f t="shared" ref="L33:L39" si="12">SUBSTITUTE(TRIM(RIGHT(SUBSTITUTE(TRIM(H33),"_",REPT(" ",100)),100)),";","")</f>
        <v>date</v>
      </c>
      <c r="M33" t="str">
        <f t="shared" si="11"/>
        <v>abap.dats;</v>
      </c>
      <c r="O33" t="str">
        <f t="shared" si="10"/>
        <v xml:space="preserve">  grc_checked_on          : abap.dats;</v>
      </c>
      <c r="S33" t="s">
        <v>873</v>
      </c>
      <c r="T33" s="4" t="s">
        <v>862</v>
      </c>
    </row>
    <row r="34" spans="5:20" x14ac:dyDescent="0.25">
      <c r="E34" s="1" t="s">
        <v>204</v>
      </c>
      <c r="F34" s="1"/>
      <c r="G34" t="str">
        <f t="shared" si="1"/>
        <v/>
      </c>
      <c r="H34" s="1" t="s">
        <v>230</v>
      </c>
      <c r="I34" t="s">
        <v>530</v>
      </c>
      <c r="J34" t="str">
        <f t="shared" si="2"/>
        <v>grc_checked_at</v>
      </c>
      <c r="K34" t="s">
        <v>289</v>
      </c>
      <c r="L34" t="str">
        <f t="shared" si="12"/>
        <v>time</v>
      </c>
      <c r="M34" t="str">
        <f t="shared" si="11"/>
        <v>abap.tims;</v>
      </c>
      <c r="O34" t="str">
        <f t="shared" si="10"/>
        <v xml:space="preserve">  grc_checked_at          : abap.tims;</v>
      </c>
      <c r="S34" t="s">
        <v>872</v>
      </c>
      <c r="T34" s="4" t="s">
        <v>863</v>
      </c>
    </row>
    <row r="35" spans="5:20" x14ac:dyDescent="0.25">
      <c r="E35" s="1" t="s">
        <v>137</v>
      </c>
      <c r="F35" s="1" t="s">
        <v>897</v>
      </c>
      <c r="G35" t="str">
        <f t="shared" si="1"/>
        <v>taxablevalue</v>
      </c>
      <c r="H35" s="1" t="s">
        <v>231</v>
      </c>
      <c r="I35" t="s">
        <v>531</v>
      </c>
      <c r="J35" t="str">
        <f t="shared" si="2"/>
        <v>grc_checked_by</v>
      </c>
      <c r="K35" t="s">
        <v>289</v>
      </c>
      <c r="L35" t="str">
        <f t="shared" si="12"/>
        <v>user</v>
      </c>
      <c r="M35" t="str">
        <f t="shared" si="11"/>
        <v>abap.char(80);</v>
      </c>
      <c r="O35" t="str">
        <f t="shared" si="10"/>
        <v xml:space="preserve">  grc_checked_by          : abap.char(80);</v>
      </c>
      <c r="S35" t="s">
        <v>868</v>
      </c>
      <c r="T35" s="4" t="s">
        <v>864</v>
      </c>
    </row>
    <row r="36" spans="5:20" x14ac:dyDescent="0.25">
      <c r="E36" s="2"/>
      <c r="F36" s="2"/>
      <c r="G36" t="str">
        <f t="shared" si="1"/>
        <v/>
      </c>
      <c r="H36" s="1" t="s">
        <v>232</v>
      </c>
      <c r="I36" t="s">
        <v>532</v>
      </c>
      <c r="J36" t="str">
        <f t="shared" si="2"/>
        <v>grc_score</v>
      </c>
      <c r="K36" t="s">
        <v>289</v>
      </c>
      <c r="L36" t="str">
        <f t="shared" si="12"/>
        <v>score</v>
      </c>
      <c r="M36" t="str">
        <f t="shared" si="11"/>
        <v>abap.char(5);</v>
      </c>
      <c r="O36" t="str">
        <f t="shared" si="10"/>
        <v xml:space="preserve">  grc_score               : abap.char(5);</v>
      </c>
      <c r="S36" t="s">
        <v>869</v>
      </c>
      <c r="T36" s="4" t="s">
        <v>865</v>
      </c>
    </row>
    <row r="37" spans="5:20" x14ac:dyDescent="0.25">
      <c r="E37" s="1" t="s">
        <v>204</v>
      </c>
      <c r="F37" s="1"/>
      <c r="G37" t="str">
        <f t="shared" si="1"/>
        <v/>
      </c>
      <c r="H37" s="1" t="s">
        <v>233</v>
      </c>
      <c r="I37" t="s">
        <v>532</v>
      </c>
      <c r="J37" t="str">
        <f t="shared" si="2"/>
        <v>gstr3b_score</v>
      </c>
      <c r="K37" t="s">
        <v>289</v>
      </c>
      <c r="L37" t="str">
        <f t="shared" si="12"/>
        <v>score</v>
      </c>
      <c r="M37" t="str">
        <f t="shared" si="11"/>
        <v>abap.char(5);</v>
      </c>
      <c r="O37" t="str">
        <f t="shared" si="10"/>
        <v xml:space="preserve">  gstr3b_score             : abap.char(5);</v>
      </c>
      <c r="S37" t="s">
        <v>870</v>
      </c>
      <c r="T37" s="4" t="s">
        <v>866</v>
      </c>
    </row>
    <row r="38" spans="5:20" x14ac:dyDescent="0.25">
      <c r="E38" s="1" t="s">
        <v>138</v>
      </c>
      <c r="F38" s="1" t="s">
        <v>897</v>
      </c>
      <c r="G38" t="str">
        <f t="shared" si="1"/>
        <v>igstamount</v>
      </c>
      <c r="H38" s="1" t="s">
        <v>234</v>
      </c>
      <c r="I38" t="s">
        <v>528</v>
      </c>
      <c r="J38" t="str">
        <f t="shared" si="2"/>
        <v>grc_check_result</v>
      </c>
      <c r="K38" t="s">
        <v>289</v>
      </c>
      <c r="L38" t="str">
        <f t="shared" si="12"/>
        <v>result</v>
      </c>
      <c r="M38" t="str">
        <f t="shared" si="11"/>
        <v>abap.char(1);</v>
      </c>
      <c r="O38" t="str">
        <f t="shared" si="10"/>
        <v xml:space="preserve">  grc_check_result        : abap.char(1);</v>
      </c>
      <c r="S38" t="s">
        <v>871</v>
      </c>
      <c r="T38" s="4" t="s">
        <v>867</v>
      </c>
    </row>
    <row r="39" spans="5:20" x14ac:dyDescent="0.25">
      <c r="E39" s="2"/>
      <c r="F39" s="2"/>
      <c r="G39" t="str">
        <f t="shared" si="1"/>
        <v/>
      </c>
      <c r="H39" s="1" t="s">
        <v>235</v>
      </c>
      <c r="I39" t="s">
        <v>533</v>
      </c>
      <c r="J39" t="str">
        <f t="shared" si="2"/>
        <v>grc_check_comment</v>
      </c>
      <c r="K39" t="s">
        <v>289</v>
      </c>
      <c r="L39" t="str">
        <f t="shared" si="12"/>
        <v>comment</v>
      </c>
      <c r="M39" t="str">
        <f t="shared" si="11"/>
        <v>abap.char(200);</v>
      </c>
      <c r="O39" t="str">
        <f t="shared" si="10"/>
        <v xml:space="preserve">  grc_check_comment       : abap.char(200);</v>
      </c>
      <c r="S39" t="s">
        <v>875</v>
      </c>
      <c r="T39" s="4" t="s">
        <v>876</v>
      </c>
    </row>
    <row r="40" spans="5:20" x14ac:dyDescent="0.25">
      <c r="E40" s="1" t="s">
        <v>204</v>
      </c>
      <c r="F40" s="1"/>
      <c r="G40" t="str">
        <f t="shared" si="1"/>
        <v/>
      </c>
      <c r="H40" s="2"/>
      <c r="J40" t="str">
        <f t="shared" si="2"/>
        <v/>
      </c>
      <c r="K40" t="s">
        <v>289</v>
      </c>
      <c r="O40" t="str">
        <f t="shared" si="10"/>
        <v/>
      </c>
      <c r="S40" t="s">
        <v>877</v>
      </c>
      <c r="T40" s="4" t="s">
        <v>879</v>
      </c>
    </row>
    <row r="41" spans="5:20" x14ac:dyDescent="0.25">
      <c r="E41" s="1" t="s">
        <v>139</v>
      </c>
      <c r="F41" s="1" t="s">
        <v>897</v>
      </c>
      <c r="G41" t="str">
        <f t="shared" si="1"/>
        <v>cgstamount</v>
      </c>
      <c r="H41" s="1" t="s">
        <v>236</v>
      </c>
      <c r="I41" t="s">
        <v>527</v>
      </c>
      <c r="J41" t="str">
        <f t="shared" si="2"/>
        <v>blocked_on</v>
      </c>
      <c r="K41" t="s">
        <v>289</v>
      </c>
      <c r="L41" t="str">
        <f t="shared" ref="L41" si="13">SUBSTITUTE(TRIM(RIGHT(SUBSTITUTE(TRIM(H41),"_",REPT(" ",100)),100)),";","")</f>
        <v>date</v>
      </c>
      <c r="M41" t="str">
        <f>INDEX($T$32:$T$47,MATCH(L41,$S$32:$S$47,0))</f>
        <v>abap.dats;</v>
      </c>
      <c r="O41" t="str">
        <f t="shared" si="10"/>
        <v xml:space="preserve">  blocked_on              : abap.dats;</v>
      </c>
      <c r="S41" t="s">
        <v>878</v>
      </c>
      <c r="T41" s="4" t="s">
        <v>876</v>
      </c>
    </row>
    <row r="42" spans="5:20" x14ac:dyDescent="0.25">
      <c r="E42" s="2"/>
      <c r="F42" s="2"/>
      <c r="G42" t="str">
        <f t="shared" si="1"/>
        <v/>
      </c>
      <c r="H42" s="1" t="s">
        <v>237</v>
      </c>
      <c r="I42" t="s">
        <v>534</v>
      </c>
      <c r="J42" t="str">
        <f t="shared" si="2"/>
        <v>blocked_at</v>
      </c>
      <c r="K42" t="s">
        <v>289</v>
      </c>
      <c r="L42" t="str">
        <f t="shared" ref="L42:L44" si="14">SUBSTITUTE(TRIM(RIGHT(SUBSTITUTE(TRIM(H42),"_",REPT(" ",100)),100)),";","")</f>
        <v>time</v>
      </c>
      <c r="M42" t="str">
        <f>INDEX($T$32:$T$47,MATCH(L42,$S$32:$S$47,0))</f>
        <v>abap.tims;</v>
      </c>
      <c r="O42" t="str">
        <f t="shared" si="10"/>
        <v xml:space="preserve">  blocked_at              : abap.tims;</v>
      </c>
      <c r="S42" t="s">
        <v>555</v>
      </c>
      <c r="T42" s="4" t="s">
        <v>876</v>
      </c>
    </row>
    <row r="43" spans="5:20" x14ac:dyDescent="0.25">
      <c r="E43" s="1" t="s">
        <v>204</v>
      </c>
      <c r="F43" s="1"/>
      <c r="G43" t="str">
        <f t="shared" si="1"/>
        <v/>
      </c>
      <c r="H43" s="1" t="s">
        <v>238</v>
      </c>
      <c r="I43" t="s">
        <v>531</v>
      </c>
      <c r="J43" t="str">
        <f t="shared" si="2"/>
        <v>blocked_by</v>
      </c>
      <c r="K43" t="s">
        <v>289</v>
      </c>
      <c r="L43" t="str">
        <f t="shared" si="14"/>
        <v>user</v>
      </c>
      <c r="M43" t="str">
        <f>INDEX($T$32:$T$47,MATCH(L43,$S$32:$S$47,0))</f>
        <v>abap.char(80);</v>
      </c>
      <c r="O43" t="str">
        <f t="shared" si="10"/>
        <v xml:space="preserve">  blocked_by              : abap.char(80);</v>
      </c>
      <c r="S43" t="s">
        <v>880</v>
      </c>
      <c r="T43" s="4" t="s">
        <v>876</v>
      </c>
    </row>
    <row r="44" spans="5:20" x14ac:dyDescent="0.25">
      <c r="E44" s="1" t="s">
        <v>140</v>
      </c>
      <c r="F44" s="1" t="s">
        <v>897</v>
      </c>
      <c r="G44" t="str">
        <f t="shared" si="1"/>
        <v>sgstamount</v>
      </c>
      <c r="H44" s="1" t="s">
        <v>239</v>
      </c>
      <c r="I44" t="s">
        <v>533</v>
      </c>
      <c r="J44" t="str">
        <f t="shared" si="2"/>
        <v>block_comment</v>
      </c>
      <c r="K44" t="s">
        <v>289</v>
      </c>
      <c r="L44" t="str">
        <f t="shared" si="14"/>
        <v>comment</v>
      </c>
      <c r="M44" t="str">
        <f>INDEX($T$32:$T$47,MATCH(L44,$S$32:$S$47,0))</f>
        <v>abap.char(200);</v>
      </c>
      <c r="O44" t="str">
        <f t="shared" si="10"/>
        <v xml:space="preserve">  block_comment           : abap.char(200);</v>
      </c>
      <c r="S44" t="s">
        <v>881</v>
      </c>
      <c r="T44" s="4" t="s">
        <v>876</v>
      </c>
    </row>
    <row r="45" spans="5:20" x14ac:dyDescent="0.25">
      <c r="E45" s="2"/>
      <c r="F45" s="2"/>
      <c r="G45" t="str">
        <f t="shared" si="1"/>
        <v/>
      </c>
      <c r="H45" s="2"/>
      <c r="J45" t="str">
        <f t="shared" si="2"/>
        <v/>
      </c>
      <c r="K45" t="s">
        <v>289</v>
      </c>
      <c r="O45" t="str">
        <f t="shared" si="10"/>
        <v/>
      </c>
      <c r="S45" t="s">
        <v>882</v>
      </c>
      <c r="T45" s="4" t="s">
        <v>876</v>
      </c>
    </row>
    <row r="46" spans="5:20" x14ac:dyDescent="0.25">
      <c r="E46" s="1" t="s">
        <v>204</v>
      </c>
      <c r="F46" s="1"/>
      <c r="G46" t="str">
        <f t="shared" si="1"/>
        <v/>
      </c>
      <c r="H46" s="1" t="s">
        <v>240</v>
      </c>
      <c r="I46" t="s">
        <v>535</v>
      </c>
      <c r="J46" t="str">
        <f t="shared" si="2"/>
        <v>split_comp_code</v>
      </c>
      <c r="K46" t="s">
        <v>289</v>
      </c>
      <c r="L46" t="str">
        <f t="shared" ref="L46" si="15">SUBSTITUTE(TRIM(RIGHT(SUBSTITUTE(TRIM(H46),"_",REPT(" ",100)),100)),";","")</f>
        <v>comp</v>
      </c>
      <c r="M46" t="str">
        <f t="shared" ref="M46:M52" si="16">INDEX($T$32:$T$47,MATCH(L46,$S$32:$S$47,0))</f>
        <v>abap.char(4);</v>
      </c>
      <c r="O46" t="str">
        <f t="shared" si="10"/>
        <v xml:space="preserve">  split_comp_code         : abap.char(4);</v>
      </c>
      <c r="S46" t="s">
        <v>624</v>
      </c>
      <c r="T46" s="4" t="s">
        <v>867</v>
      </c>
    </row>
    <row r="47" spans="5:20" x14ac:dyDescent="0.25">
      <c r="E47" s="1" t="s">
        <v>141</v>
      </c>
      <c r="F47" s="1"/>
      <c r="G47" t="str">
        <f t="shared" si="1"/>
        <v>totaltax</v>
      </c>
      <c r="H47" s="1" t="s">
        <v>241</v>
      </c>
      <c r="I47" t="s">
        <v>536</v>
      </c>
      <c r="J47" t="str">
        <f t="shared" si="2"/>
        <v>split_gst_doc_num</v>
      </c>
      <c r="K47" t="s">
        <v>289</v>
      </c>
      <c r="L47" t="str">
        <f t="shared" ref="L47:L52" si="17">SUBSTITUTE(TRIM(RIGHT(SUBSTITUTE(TRIM(H47),"_",REPT(" ",100)),100)),";","")</f>
        <v>doc</v>
      </c>
      <c r="M47" t="str">
        <f t="shared" si="16"/>
        <v>abap.char(10);</v>
      </c>
      <c r="O47" t="str">
        <f t="shared" si="10"/>
        <v xml:space="preserve">  split_gst_doc_num       : abap.char(10);</v>
      </c>
      <c r="S47" t="s">
        <v>883</v>
      </c>
      <c r="T47" s="4" t="s">
        <v>867</v>
      </c>
    </row>
    <row r="48" spans="5:20" x14ac:dyDescent="0.25">
      <c r="E48" s="2"/>
      <c r="F48" s="2"/>
      <c r="G48" t="str">
        <f t="shared" si="1"/>
        <v/>
      </c>
      <c r="H48" s="1" t="s">
        <v>242</v>
      </c>
      <c r="I48" t="s">
        <v>537</v>
      </c>
      <c r="J48" t="str">
        <f t="shared" si="2"/>
        <v>split_year</v>
      </c>
      <c r="K48" t="s">
        <v>289</v>
      </c>
      <c r="L48" t="str">
        <f t="shared" si="17"/>
        <v>year</v>
      </c>
      <c r="M48" t="str">
        <f t="shared" si="16"/>
        <v>abap.numc(4);</v>
      </c>
      <c r="O48" t="str">
        <f t="shared" si="10"/>
        <v xml:space="preserve">  split_year              : abap.numc(4);</v>
      </c>
      <c r="S48" t="s">
        <v>888</v>
      </c>
      <c r="T48" s="4" t="s">
        <v>863</v>
      </c>
    </row>
    <row r="49" spans="5:15" x14ac:dyDescent="0.25">
      <c r="E49" s="1" t="s">
        <v>142</v>
      </c>
      <c r="F49" s="1"/>
      <c r="G49" t="str">
        <f t="shared" si="1"/>
        <v>rec_date</v>
      </c>
      <c r="H49" s="1" t="s">
        <v>243</v>
      </c>
      <c r="I49" t="s">
        <v>529</v>
      </c>
      <c r="J49" t="str">
        <f t="shared" si="2"/>
        <v>split_on</v>
      </c>
      <c r="K49" t="s">
        <v>289</v>
      </c>
      <c r="L49" t="str">
        <f t="shared" si="17"/>
        <v>date</v>
      </c>
      <c r="M49" t="str">
        <f t="shared" si="16"/>
        <v>abap.dats;</v>
      </c>
      <c r="O49" t="str">
        <f t="shared" si="10"/>
        <v xml:space="preserve">  split_on                : abap.dats;</v>
      </c>
    </row>
    <row r="50" spans="5:15" x14ac:dyDescent="0.25">
      <c r="E50" s="1" t="s">
        <v>143</v>
      </c>
      <c r="F50" s="1"/>
      <c r="G50" t="str">
        <f t="shared" si="1"/>
        <v>rec_time</v>
      </c>
      <c r="H50" s="1" t="s">
        <v>244</v>
      </c>
      <c r="I50" t="s">
        <v>530</v>
      </c>
      <c r="J50" t="str">
        <f t="shared" si="2"/>
        <v>split_at</v>
      </c>
      <c r="K50" t="s">
        <v>289</v>
      </c>
      <c r="L50" t="str">
        <f t="shared" si="17"/>
        <v>time</v>
      </c>
      <c r="M50" t="str">
        <f t="shared" si="16"/>
        <v>abap.tims;</v>
      </c>
      <c r="O50" t="str">
        <f t="shared" si="10"/>
        <v xml:space="preserve">  split_at                : abap.tims;</v>
      </c>
    </row>
    <row r="51" spans="5:15" x14ac:dyDescent="0.25">
      <c r="E51" s="2"/>
      <c r="F51" s="2"/>
      <c r="G51" t="str">
        <f t="shared" si="1"/>
        <v/>
      </c>
      <c r="H51" s="1" t="s">
        <v>245</v>
      </c>
      <c r="I51" t="s">
        <v>531</v>
      </c>
      <c r="J51" t="str">
        <f t="shared" si="2"/>
        <v>split_by</v>
      </c>
      <c r="K51" t="s">
        <v>289</v>
      </c>
      <c r="L51" t="str">
        <f t="shared" si="17"/>
        <v>user</v>
      </c>
      <c r="M51" t="str">
        <f t="shared" si="16"/>
        <v>abap.char(80);</v>
      </c>
      <c r="O51" t="str">
        <f t="shared" si="10"/>
        <v xml:space="preserve">  split_by                : abap.char(80);</v>
      </c>
    </row>
    <row r="52" spans="5:15" x14ac:dyDescent="0.25">
      <c r="E52" s="1" t="s">
        <v>205</v>
      </c>
      <c r="F52" s="1"/>
      <c r="G52" t="str">
        <f t="shared" si="1"/>
        <v/>
      </c>
      <c r="H52" s="1" t="s">
        <v>246</v>
      </c>
      <c r="J52" t="str">
        <f t="shared" si="2"/>
        <v>split_comment</v>
      </c>
      <c r="K52" t="s">
        <v>289</v>
      </c>
      <c r="L52" t="str">
        <f t="shared" si="17"/>
        <v>comment</v>
      </c>
      <c r="M52" t="str">
        <f t="shared" si="16"/>
        <v>abap.char(200);</v>
      </c>
      <c r="O52" t="str">
        <f t="shared" si="10"/>
        <v xml:space="preserve">  split_comment           : abap.char(200);</v>
      </c>
    </row>
    <row r="53" spans="5:15" x14ac:dyDescent="0.25">
      <c r="E53" s="2"/>
      <c r="F53" s="2"/>
      <c r="G53" t="str">
        <f t="shared" si="1"/>
        <v/>
      </c>
      <c r="H53" s="2"/>
      <c r="J53" t="str">
        <f t="shared" si="2"/>
        <v/>
      </c>
      <c r="K53" t="s">
        <v>289</v>
      </c>
      <c r="O53" t="str">
        <f t="shared" si="10"/>
        <v/>
      </c>
    </row>
    <row r="54" spans="5:15" x14ac:dyDescent="0.25">
      <c r="E54" s="1" t="s">
        <v>206</v>
      </c>
      <c r="F54" s="1"/>
      <c r="G54" t="str">
        <f t="shared" si="1"/>
        <v/>
      </c>
      <c r="H54" s="1" t="s">
        <v>247</v>
      </c>
      <c r="J54" t="str">
        <f t="shared" si="2"/>
        <v>split_rev_comp_code</v>
      </c>
      <c r="K54" t="s">
        <v>289</v>
      </c>
      <c r="L54" t="str">
        <f t="shared" ref="L54" si="18">SUBSTITUTE(TRIM(RIGHT(SUBSTITUTE(TRIM(H54),"_",REPT(" ",100)),100)),";","")</f>
        <v>comp</v>
      </c>
      <c r="M54" t="str">
        <f t="shared" ref="M54:M60" si="19">INDEX($T$32:$T$47,MATCH(L54,$S$32:$S$47,0))</f>
        <v>abap.char(4);</v>
      </c>
      <c r="O54" t="str">
        <f t="shared" si="10"/>
        <v xml:space="preserve">  split_rev_comp_code     : abap.char(4);</v>
      </c>
    </row>
    <row r="55" spans="5:15" x14ac:dyDescent="0.25">
      <c r="E55" s="1" t="s">
        <v>207</v>
      </c>
      <c r="F55" s="1"/>
      <c r="G55" t="str">
        <f t="shared" si="1"/>
        <v>status_desc</v>
      </c>
      <c r="H55" s="1" t="s">
        <v>248</v>
      </c>
      <c r="I55" t="s">
        <v>536</v>
      </c>
      <c r="J55" t="str">
        <f t="shared" si="2"/>
        <v>split_rev_doc_num</v>
      </c>
      <c r="K55" t="s">
        <v>289</v>
      </c>
      <c r="L55" t="str">
        <f t="shared" ref="L55:L60" si="20">SUBSTITUTE(TRIM(RIGHT(SUBSTITUTE(TRIM(H55),"_",REPT(" ",100)),100)),";","")</f>
        <v>doc</v>
      </c>
      <c r="M55" t="str">
        <f t="shared" si="19"/>
        <v>abap.char(10);</v>
      </c>
      <c r="O55" t="str">
        <f t="shared" si="10"/>
        <v xml:space="preserve">  split_rev_doc_num       : abap.char(10);</v>
      </c>
    </row>
    <row r="56" spans="5:15" x14ac:dyDescent="0.25">
      <c r="E56" s="2"/>
      <c r="F56" s="2"/>
      <c r="G56" t="str">
        <f t="shared" si="1"/>
        <v/>
      </c>
      <c r="H56" s="1" t="s">
        <v>249</v>
      </c>
      <c r="J56" t="str">
        <f t="shared" si="2"/>
        <v>split_rev_year</v>
      </c>
      <c r="K56" t="s">
        <v>289</v>
      </c>
      <c r="L56" t="str">
        <f t="shared" si="20"/>
        <v>year</v>
      </c>
      <c r="M56" t="str">
        <f t="shared" si="19"/>
        <v>abap.numc(4);</v>
      </c>
      <c r="O56" t="str">
        <f t="shared" si="10"/>
        <v xml:space="preserve">  split_rev_year          : abap.numc(4);</v>
      </c>
    </row>
    <row r="57" spans="5:15" x14ac:dyDescent="0.25">
      <c r="E57" s="1" t="s">
        <v>208</v>
      </c>
      <c r="F57" s="1"/>
      <c r="G57" t="str">
        <f t="shared" si="1"/>
        <v/>
      </c>
      <c r="H57" s="1" t="s">
        <v>250</v>
      </c>
      <c r="J57" t="str">
        <f t="shared" si="2"/>
        <v>split_rev_on</v>
      </c>
      <c r="K57" t="s">
        <v>289</v>
      </c>
      <c r="L57" t="str">
        <f t="shared" si="20"/>
        <v>date</v>
      </c>
      <c r="M57" t="str">
        <f t="shared" si="19"/>
        <v>abap.dats;</v>
      </c>
      <c r="O57" t="str">
        <f t="shared" si="10"/>
        <v xml:space="preserve">  split_rev_on            : abap.dats;</v>
      </c>
    </row>
    <row r="58" spans="5:15" x14ac:dyDescent="0.25">
      <c r="E58" s="1" t="s">
        <v>209</v>
      </c>
      <c r="F58" s="1"/>
      <c r="G58" t="str">
        <f t="shared" si="1"/>
        <v>block_type_desc</v>
      </c>
      <c r="H58" s="1" t="s">
        <v>251</v>
      </c>
      <c r="J58" t="str">
        <f t="shared" si="2"/>
        <v>split_rev_at</v>
      </c>
      <c r="K58" t="s">
        <v>289</v>
      </c>
      <c r="L58" t="str">
        <f t="shared" si="20"/>
        <v>time</v>
      </c>
      <c r="M58" t="str">
        <f t="shared" si="19"/>
        <v>abap.tims;</v>
      </c>
      <c r="O58" t="str">
        <f t="shared" si="10"/>
        <v xml:space="preserve">  split_rev_at            : abap.tims;</v>
      </c>
    </row>
    <row r="59" spans="5:15" x14ac:dyDescent="0.25">
      <c r="E59" s="2"/>
      <c r="F59" s="2"/>
      <c r="G59" t="str">
        <f t="shared" si="1"/>
        <v/>
      </c>
      <c r="H59" s="1" t="s">
        <v>99</v>
      </c>
      <c r="J59" t="str">
        <f t="shared" si="2"/>
        <v>split_rev_by</v>
      </c>
      <c r="K59" t="s">
        <v>289</v>
      </c>
      <c r="L59" t="str">
        <f t="shared" si="20"/>
        <v>user</v>
      </c>
      <c r="M59" t="str">
        <f t="shared" si="19"/>
        <v>abap.char(80);</v>
      </c>
      <c r="O59" t="str">
        <f t="shared" si="10"/>
        <v xml:space="preserve">  split_rev_by            : abap.char(80);</v>
      </c>
    </row>
    <row r="60" spans="5:15" x14ac:dyDescent="0.25">
      <c r="E60" s="1" t="s">
        <v>144</v>
      </c>
      <c r="F60" s="1"/>
      <c r="G60" t="str">
        <f t="shared" si="1"/>
        <v>vendor_name</v>
      </c>
      <c r="H60" s="1" t="s">
        <v>252</v>
      </c>
      <c r="J60" t="str">
        <f t="shared" si="2"/>
        <v>split_rev_comment</v>
      </c>
      <c r="K60" t="s">
        <v>289</v>
      </c>
      <c r="L60" t="str">
        <f t="shared" si="20"/>
        <v>comment</v>
      </c>
      <c r="M60" t="str">
        <f t="shared" si="19"/>
        <v>abap.char(200);</v>
      </c>
      <c r="O60" t="str">
        <f t="shared" si="10"/>
        <v xml:space="preserve">  split_rev_comment       : abap.char(200);</v>
      </c>
    </row>
    <row r="61" spans="5:15" x14ac:dyDescent="0.25">
      <c r="E61" s="1" t="s">
        <v>145</v>
      </c>
      <c r="F61" s="1"/>
      <c r="G61" t="str">
        <f t="shared" si="1"/>
        <v>blart</v>
      </c>
      <c r="H61" s="2"/>
      <c r="J61" t="str">
        <f t="shared" si="2"/>
        <v/>
      </c>
      <c r="K61" t="s">
        <v>289</v>
      </c>
      <c r="O61" t="str">
        <f t="shared" si="10"/>
        <v/>
      </c>
    </row>
    <row r="62" spans="5:15" x14ac:dyDescent="0.25">
      <c r="E62" s="1" t="s">
        <v>146</v>
      </c>
      <c r="F62" s="1"/>
      <c r="G62" t="str">
        <f t="shared" si="1"/>
        <v>qblock</v>
      </c>
      <c r="H62" s="1" t="s">
        <v>253</v>
      </c>
      <c r="J62" t="str">
        <f t="shared" si="2"/>
        <v>jv_comp_code</v>
      </c>
      <c r="K62" t="s">
        <v>289</v>
      </c>
      <c r="L62" t="str">
        <f t="shared" ref="L62:L68" si="21">SUBSTITUTE(TRIM(RIGHT(SUBSTITUTE(TRIM(H62),"_",REPT(" ",100)),100)),";","")</f>
        <v>comp</v>
      </c>
      <c r="M62" t="str">
        <f t="shared" ref="M62:M68" si="22">INDEX($T$32:$T$47,MATCH(L62,$S$32:$S$47,0))</f>
        <v>abap.char(4);</v>
      </c>
      <c r="O62" t="str">
        <f t="shared" si="10"/>
        <v xml:space="preserve">  jv_comp_code            : abap.char(4);</v>
      </c>
    </row>
    <row r="63" spans="5:15" x14ac:dyDescent="0.25">
      <c r="E63" s="1" t="s">
        <v>147</v>
      </c>
      <c r="F63" s="1"/>
      <c r="G63" t="str">
        <f t="shared" si="1"/>
        <v>preconciliationsection</v>
      </c>
      <c r="H63" s="1" t="s">
        <v>254</v>
      </c>
      <c r="J63" t="str">
        <f t="shared" si="2"/>
        <v>jv_doc_num</v>
      </c>
      <c r="K63" t="s">
        <v>289</v>
      </c>
      <c r="L63" t="str">
        <f t="shared" si="21"/>
        <v>doc</v>
      </c>
      <c r="M63" t="str">
        <f t="shared" si="22"/>
        <v>abap.char(10);</v>
      </c>
      <c r="O63" t="str">
        <f t="shared" si="10"/>
        <v xml:space="preserve">  jv_doc_num              : abap.char(10);</v>
      </c>
    </row>
    <row r="64" spans="5:15" x14ac:dyDescent="0.25">
      <c r="E64" s="2"/>
      <c r="F64" s="2"/>
      <c r="G64" t="str">
        <f t="shared" si="1"/>
        <v/>
      </c>
      <c r="H64" s="1" t="s">
        <v>255</v>
      </c>
      <c r="J64" t="str">
        <f t="shared" si="2"/>
        <v>jv_year</v>
      </c>
      <c r="K64" t="s">
        <v>289</v>
      </c>
      <c r="L64" t="str">
        <f t="shared" si="21"/>
        <v>year</v>
      </c>
      <c r="M64" t="str">
        <f t="shared" si="22"/>
        <v>abap.numc(4);</v>
      </c>
      <c r="O64" t="str">
        <f t="shared" si="10"/>
        <v xml:space="preserve">  jv_year                 : abap.numc(4);</v>
      </c>
    </row>
    <row r="65" spans="5:15" x14ac:dyDescent="0.25">
      <c r="E65" s="1" t="s">
        <v>148</v>
      </c>
      <c r="F65" s="1" t="s">
        <v>898</v>
      </c>
      <c r="G65" t="str">
        <f t="shared" si="1"/>
        <v>cpgstin</v>
      </c>
      <c r="H65" s="1" t="s">
        <v>100</v>
      </c>
      <c r="J65" t="str">
        <f t="shared" si="2"/>
        <v>jv_posted_on</v>
      </c>
      <c r="K65" t="s">
        <v>289</v>
      </c>
      <c r="L65" t="str">
        <f t="shared" si="21"/>
        <v>date</v>
      </c>
      <c r="M65" t="str">
        <f t="shared" si="22"/>
        <v>abap.dats;</v>
      </c>
      <c r="O65" t="str">
        <f t="shared" si="10"/>
        <v xml:space="preserve">  jv_posted_on            : abap.dats;</v>
      </c>
    </row>
    <row r="66" spans="5:15" x14ac:dyDescent="0.25">
      <c r="E66" s="1" t="s">
        <v>149</v>
      </c>
      <c r="F66" s="1" t="s">
        <v>893</v>
      </c>
      <c r="G66" t="str">
        <f t="shared" si="1"/>
        <v>cptradename</v>
      </c>
      <c r="H66" s="1" t="s">
        <v>101</v>
      </c>
      <c r="J66" t="str">
        <f t="shared" si="2"/>
        <v>jv_posted_at</v>
      </c>
      <c r="K66" t="s">
        <v>289</v>
      </c>
      <c r="L66" t="str">
        <f t="shared" si="21"/>
        <v>time</v>
      </c>
      <c r="M66" t="str">
        <f t="shared" si="22"/>
        <v>abap.tims;</v>
      </c>
      <c r="O66" t="str">
        <f t="shared" si="10"/>
        <v xml:space="preserve">  jv_posted_at            : abap.tims;</v>
      </c>
    </row>
    <row r="67" spans="5:15" x14ac:dyDescent="0.25">
      <c r="E67" s="1" t="s">
        <v>150</v>
      </c>
      <c r="F67" s="1" t="s">
        <v>899</v>
      </c>
      <c r="G67" t="str">
        <f t="shared" si="1"/>
        <v>cplegalname</v>
      </c>
      <c r="H67" s="1" t="s">
        <v>102</v>
      </c>
      <c r="J67" t="str">
        <f t="shared" si="2"/>
        <v>jv_posted_by</v>
      </c>
      <c r="K67" t="s">
        <v>289</v>
      </c>
      <c r="L67" t="str">
        <f t="shared" si="21"/>
        <v>user</v>
      </c>
      <c r="M67" t="str">
        <f t="shared" si="22"/>
        <v>abap.char(80);</v>
      </c>
      <c r="O67" t="str">
        <f t="shared" si="10"/>
        <v xml:space="preserve">  jv_posted_by            : abap.char(80);</v>
      </c>
    </row>
    <row r="68" spans="5:15" x14ac:dyDescent="0.25">
      <c r="E68" s="1" t="s">
        <v>151</v>
      </c>
      <c r="F68" s="1" t="s">
        <v>898</v>
      </c>
      <c r="G68" t="str">
        <f t="shared" si="1"/>
        <v>cpdocumentnumber</v>
      </c>
      <c r="H68" s="1" t="s">
        <v>103</v>
      </c>
      <c r="J68" t="str">
        <f t="shared" si="2"/>
        <v>jv_comment</v>
      </c>
      <c r="K68" t="s">
        <v>289</v>
      </c>
      <c r="L68" t="str">
        <f t="shared" si="21"/>
        <v>comment</v>
      </c>
      <c r="M68" t="str">
        <f t="shared" si="22"/>
        <v>abap.char(200);</v>
      </c>
      <c r="O68" t="str">
        <f t="shared" si="10"/>
        <v xml:space="preserve">  jv_comment              : abap.char(200);</v>
      </c>
    </row>
    <row r="69" spans="5:15" x14ac:dyDescent="0.25">
      <c r="E69" s="1" t="s">
        <v>152</v>
      </c>
      <c r="F69" s="1" t="s">
        <v>899</v>
      </c>
      <c r="G69" t="str">
        <f t="shared" si="1"/>
        <v>cpdocumentdate</v>
      </c>
      <c r="H69" s="2"/>
      <c r="J69" t="str">
        <f t="shared" si="2"/>
        <v/>
      </c>
      <c r="K69" t="s">
        <v>289</v>
      </c>
      <c r="O69" t="str">
        <f t="shared" si="10"/>
        <v/>
      </c>
    </row>
    <row r="70" spans="5:15" x14ac:dyDescent="0.25">
      <c r="E70" s="1" t="s">
        <v>153</v>
      </c>
      <c r="F70" s="1" t="s">
        <v>899</v>
      </c>
      <c r="G70" t="str">
        <f t="shared" si="1"/>
        <v>cpvalue</v>
      </c>
      <c r="H70" s="1" t="s">
        <v>256</v>
      </c>
      <c r="J70" t="str">
        <f t="shared" si="2"/>
        <v>jv_rev_comp_code</v>
      </c>
      <c r="K70" t="s">
        <v>289</v>
      </c>
      <c r="L70" t="str">
        <f t="shared" ref="L70:L76" si="23">SUBSTITUTE(TRIM(RIGHT(SUBSTITUTE(TRIM(H70),"_",REPT(" ",100)),100)),";","")</f>
        <v>comp</v>
      </c>
      <c r="M70" t="str">
        <f t="shared" ref="M70:M76" si="24">INDEX($T$32:$T$47,MATCH(L70,$S$32:$S$47,0))</f>
        <v>abap.char(4);</v>
      </c>
      <c r="O70" t="str">
        <f t="shared" si="10"/>
        <v xml:space="preserve">  jv_rev_comp_code        : abap.char(4);</v>
      </c>
    </row>
    <row r="71" spans="5:15" x14ac:dyDescent="0.25">
      <c r="E71" s="1" t="s">
        <v>154</v>
      </c>
      <c r="F71" s="1" t="s">
        <v>900</v>
      </c>
      <c r="G71" t="str">
        <f t="shared" si="1"/>
        <v>cppos</v>
      </c>
      <c r="H71" s="1" t="s">
        <v>257</v>
      </c>
      <c r="J71" t="str">
        <f t="shared" si="2"/>
        <v>jv_rev_doc_num</v>
      </c>
      <c r="K71" t="s">
        <v>289</v>
      </c>
      <c r="L71" t="str">
        <f t="shared" si="23"/>
        <v>doc</v>
      </c>
      <c r="M71" t="str">
        <f t="shared" si="24"/>
        <v>abap.char(10);</v>
      </c>
      <c r="O71" t="str">
        <f t="shared" si="10"/>
        <v xml:space="preserve">  jv_rev_doc_num          : abap.char(10);</v>
      </c>
    </row>
    <row r="72" spans="5:15" x14ac:dyDescent="0.25">
      <c r="E72" s="1" t="s">
        <v>155</v>
      </c>
      <c r="F72" s="1" t="s">
        <v>899</v>
      </c>
      <c r="G72" t="str">
        <f t="shared" si="1"/>
        <v>cpreversecharge</v>
      </c>
      <c r="H72" s="1" t="s">
        <v>258</v>
      </c>
      <c r="J72" t="str">
        <f t="shared" si="2"/>
        <v>jv_rev_year</v>
      </c>
      <c r="K72" t="s">
        <v>289</v>
      </c>
      <c r="L72" t="str">
        <f t="shared" si="23"/>
        <v>year</v>
      </c>
      <c r="M72" t="str">
        <f t="shared" si="24"/>
        <v>abap.numc(4);</v>
      </c>
      <c r="O72" t="str">
        <f t="shared" si="10"/>
        <v xml:space="preserve">  jv_rev_year             : abap.numc(4);</v>
      </c>
    </row>
    <row r="73" spans="5:15" x14ac:dyDescent="0.25">
      <c r="E73" s="1" t="s">
        <v>156</v>
      </c>
      <c r="F73" s="1" t="s">
        <v>899</v>
      </c>
      <c r="G73" t="str">
        <f t="shared" si="1"/>
        <v>cptransactiontype</v>
      </c>
      <c r="H73" s="1" t="s">
        <v>259</v>
      </c>
      <c r="J73" t="str">
        <f t="shared" si="2"/>
        <v>jv_reversed_on</v>
      </c>
      <c r="K73" t="s">
        <v>289</v>
      </c>
      <c r="L73" t="str">
        <f t="shared" si="23"/>
        <v>date</v>
      </c>
      <c r="M73" t="str">
        <f t="shared" si="24"/>
        <v>abap.dats;</v>
      </c>
      <c r="O73" t="str">
        <f t="shared" si="10"/>
        <v xml:space="preserve">  jv_reversed_on          : abap.dats;</v>
      </c>
    </row>
    <row r="74" spans="5:15" x14ac:dyDescent="0.25">
      <c r="E74" s="1" t="s">
        <v>157</v>
      </c>
      <c r="F74" s="1" t="s">
        <v>899</v>
      </c>
      <c r="G74" t="str">
        <f t="shared" ref="G74:G137" si="25">IF(ISNUMBER(SEARCH("@",IFERROR(TRIM(SUBSTITUTE(MID(E74,1,FIND(":",E74)-1),"key","")),""))),"",IFERROR(TRIM(SUBSTITUTE(MID(E74,1,FIND(":",E74)-1),"key","")),""))</f>
        <v>cptaxpayertype</v>
      </c>
      <c r="H74" s="1" t="s">
        <v>260</v>
      </c>
      <c r="J74" t="str">
        <f t="shared" ref="J74:J111" si="26">IF(ISNUMBER(SEARCH("@",IFERROR(TRIM(SUBSTITUTE(MID(H74,1,FIND(":",H74)-1),"key","")),""))),"",IFERROR(TRIM(SUBSTITUTE(MID(H74,1,FIND(":",H74)-1),"key","")),""))</f>
        <v>jv_reversed_at</v>
      </c>
      <c r="K74" t="s">
        <v>289</v>
      </c>
      <c r="L74" t="str">
        <f t="shared" si="23"/>
        <v>time</v>
      </c>
      <c r="M74" t="str">
        <f t="shared" si="24"/>
        <v>abap.tims;</v>
      </c>
      <c r="O74" t="str">
        <f t="shared" si="10"/>
        <v xml:space="preserve">  jv_reversed_at          : abap.tims;</v>
      </c>
    </row>
    <row r="75" spans="5:15" x14ac:dyDescent="0.25">
      <c r="E75" s="1" t="s">
        <v>158</v>
      </c>
      <c r="F75" s="1" t="s">
        <v>899</v>
      </c>
      <c r="G75" t="str">
        <f t="shared" si="25"/>
        <v>cptaxablevalue</v>
      </c>
      <c r="H75" s="1" t="s">
        <v>261</v>
      </c>
      <c r="J75" t="str">
        <f t="shared" si="26"/>
        <v>jv_reversed_by</v>
      </c>
      <c r="K75" t="s">
        <v>289</v>
      </c>
      <c r="L75" t="str">
        <f t="shared" si="23"/>
        <v>user</v>
      </c>
      <c r="M75" t="str">
        <f t="shared" si="24"/>
        <v>abap.char(80);</v>
      </c>
      <c r="O75" t="str">
        <f t="shared" si="10"/>
        <v xml:space="preserve">  jv_reversed_by          : abap.char(80);</v>
      </c>
    </row>
    <row r="76" spans="5:15" x14ac:dyDescent="0.25">
      <c r="E76" s="1" t="s">
        <v>159</v>
      </c>
      <c r="F76" s="1" t="s">
        <v>899</v>
      </c>
      <c r="G76" t="str">
        <f t="shared" si="25"/>
        <v>cprate</v>
      </c>
      <c r="H76" s="1" t="s">
        <v>262</v>
      </c>
      <c r="J76" t="str">
        <f t="shared" si="26"/>
        <v>jv_rev_comment</v>
      </c>
      <c r="K76" t="s">
        <v>289</v>
      </c>
      <c r="L76" t="str">
        <f t="shared" si="23"/>
        <v>comment</v>
      </c>
      <c r="M76" t="str">
        <f t="shared" si="24"/>
        <v>abap.char(200);</v>
      </c>
      <c r="O76" t="str">
        <f t="shared" si="10"/>
        <v xml:space="preserve">  jv_rev_comment          : abap.char(200);</v>
      </c>
    </row>
    <row r="77" spans="5:15" x14ac:dyDescent="0.25">
      <c r="E77" s="2"/>
      <c r="F77" s="2"/>
      <c r="G77" t="str">
        <f t="shared" si="25"/>
        <v/>
      </c>
      <c r="H77" s="2"/>
      <c r="J77" t="str">
        <f t="shared" si="26"/>
        <v/>
      </c>
      <c r="K77" t="s">
        <v>289</v>
      </c>
      <c r="O77" t="str">
        <f t="shared" si="10"/>
        <v/>
      </c>
    </row>
    <row r="78" spans="5:15" x14ac:dyDescent="0.25">
      <c r="E78" s="1" t="s">
        <v>160</v>
      </c>
      <c r="F78" s="1" t="s">
        <v>899</v>
      </c>
      <c r="G78" t="str">
        <f t="shared" si="25"/>
        <v>cpigstamount</v>
      </c>
      <c r="H78" s="1" t="s">
        <v>263</v>
      </c>
      <c r="J78" t="str">
        <f t="shared" si="26"/>
        <v>released_on</v>
      </c>
      <c r="K78" t="s">
        <v>289</v>
      </c>
      <c r="L78" t="str">
        <f t="shared" ref="L78:L81" si="27">SUBSTITUTE(TRIM(RIGHT(SUBSTITUTE(TRIM(H78),"_",REPT(" ",100)),100)),";","")</f>
        <v>date</v>
      </c>
      <c r="M78" t="str">
        <f>INDEX($T$32:$T$47,MATCH(L78,$S$32:$S$47,0))</f>
        <v>abap.dats;</v>
      </c>
      <c r="O78" t="str">
        <f t="shared" si="10"/>
        <v xml:space="preserve">  released_on             : abap.dats;</v>
      </c>
    </row>
    <row r="79" spans="5:15" x14ac:dyDescent="0.25">
      <c r="E79" s="1" t="s">
        <v>161</v>
      </c>
      <c r="F79" s="1" t="s">
        <v>899</v>
      </c>
      <c r="G79" t="str">
        <f t="shared" si="25"/>
        <v>cpcgstamount</v>
      </c>
      <c r="H79" s="1" t="s">
        <v>264</v>
      </c>
      <c r="J79" t="str">
        <f t="shared" si="26"/>
        <v>released_at</v>
      </c>
      <c r="K79" t="s">
        <v>289</v>
      </c>
      <c r="L79" t="str">
        <f t="shared" si="27"/>
        <v>time</v>
      </c>
      <c r="M79" t="str">
        <f>INDEX($T$32:$T$47,MATCH(L79,$S$32:$S$47,0))</f>
        <v>abap.tims;</v>
      </c>
      <c r="O79" t="str">
        <f t="shared" si="10"/>
        <v xml:space="preserve">  released_at             : abap.tims;</v>
      </c>
    </row>
    <row r="80" spans="5:15" x14ac:dyDescent="0.25">
      <c r="E80" s="1" t="s">
        <v>162</v>
      </c>
      <c r="F80" s="1" t="s">
        <v>899</v>
      </c>
      <c r="G80" t="str">
        <f t="shared" si="25"/>
        <v>cpsgstamount</v>
      </c>
      <c r="H80" s="1" t="s">
        <v>265</v>
      </c>
      <c r="J80" t="str">
        <f t="shared" si="26"/>
        <v>released_by</v>
      </c>
      <c r="K80" t="s">
        <v>289</v>
      </c>
      <c r="L80" t="str">
        <f t="shared" si="27"/>
        <v>user</v>
      </c>
      <c r="M80" t="str">
        <f>INDEX($T$32:$T$47,MATCH(L80,$S$32:$S$47,0))</f>
        <v>abap.char(80);</v>
      </c>
      <c r="O80" t="str">
        <f t="shared" si="10"/>
        <v xml:space="preserve">  released_by             : abap.char(80);</v>
      </c>
    </row>
    <row r="81" spans="5:15" x14ac:dyDescent="0.25">
      <c r="E81" s="1" t="s">
        <v>163</v>
      </c>
      <c r="F81" s="1" t="s">
        <v>899</v>
      </c>
      <c r="G81" t="str">
        <f t="shared" si="25"/>
        <v>cpcessamount</v>
      </c>
      <c r="H81" s="1" t="s">
        <v>266</v>
      </c>
      <c r="J81" t="str">
        <f t="shared" si="26"/>
        <v>release_comment</v>
      </c>
      <c r="K81" t="s">
        <v>289</v>
      </c>
      <c r="L81" t="str">
        <f t="shared" si="27"/>
        <v>comment</v>
      </c>
      <c r="M81" t="str">
        <f>INDEX($T$32:$T$47,MATCH(L81,$S$32:$S$47,0))</f>
        <v>abap.char(200);</v>
      </c>
      <c r="O81" t="str">
        <f t="shared" si="10"/>
        <v xml:space="preserve">  release_comment         : abap.char(200);</v>
      </c>
    </row>
    <row r="82" spans="5:15" x14ac:dyDescent="0.25">
      <c r="E82" s="2"/>
      <c r="F82" s="2"/>
      <c r="G82" t="str">
        <f t="shared" si="25"/>
        <v/>
      </c>
      <c r="H82" s="2"/>
      <c r="J82" t="str">
        <f t="shared" si="26"/>
        <v/>
      </c>
      <c r="K82" t="s">
        <v>289</v>
      </c>
      <c r="O82" t="str">
        <f t="shared" si="10"/>
        <v/>
      </c>
    </row>
    <row r="83" spans="5:15" x14ac:dyDescent="0.25">
      <c r="E83" s="1" t="s">
        <v>164</v>
      </c>
      <c r="F83" s="1" t="s">
        <v>899</v>
      </c>
      <c r="G83" t="str">
        <f t="shared" si="25"/>
        <v>cpfilingstatus</v>
      </c>
      <c r="H83" s="1" t="s">
        <v>267</v>
      </c>
      <c r="J83" t="str">
        <f t="shared" si="26"/>
        <v>debit_note_comp</v>
      </c>
      <c r="K83" t="s">
        <v>289</v>
      </c>
      <c r="L83" t="str">
        <f t="shared" ref="L83" si="28">SUBSTITUTE(TRIM(RIGHT(SUBSTITUTE(TRIM(H83),"_",REPT(" ",100)),100)),";","")</f>
        <v>comp</v>
      </c>
      <c r="M83" t="str">
        <f>INDEX($T$32:$T$47,MATCH(L83,$S$32:$S$47,0))</f>
        <v>abap.char(4);</v>
      </c>
      <c r="O83" t="str">
        <f t="shared" si="10"/>
        <v xml:space="preserve">  debit_note_comp         : abap.char(4);</v>
      </c>
    </row>
    <row r="84" spans="5:15" x14ac:dyDescent="0.25">
      <c r="E84" s="1" t="s">
        <v>165</v>
      </c>
      <c r="F84" s="1" t="s">
        <v>899</v>
      </c>
      <c r="G84" t="str">
        <f t="shared" si="25"/>
        <v>cpfilingdate</v>
      </c>
      <c r="H84" s="1" t="s">
        <v>268</v>
      </c>
      <c r="J84" t="str">
        <f t="shared" si="26"/>
        <v>debit_note_num</v>
      </c>
      <c r="K84" t="s">
        <v>289</v>
      </c>
      <c r="L84" t="str">
        <f t="shared" ref="L84:L89" si="29">SUBSTITUTE(TRIM(RIGHT(SUBSTITUTE(TRIM(H84),"_",REPT(" ",100)),100)),";","")</f>
        <v>num</v>
      </c>
      <c r="M84" t="str">
        <f>INDEX($T$32:$T$60,MATCH(L84,$S$32:$S$60,0))</f>
        <v>abap.numc(4);</v>
      </c>
      <c r="O84" t="str">
        <f t="shared" si="10"/>
        <v xml:space="preserve">  debit_note_num          : abap.numc(4);</v>
      </c>
    </row>
    <row r="85" spans="5:15" x14ac:dyDescent="0.25">
      <c r="E85" s="1" t="s">
        <v>166</v>
      </c>
      <c r="F85" s="1" t="s">
        <v>890</v>
      </c>
      <c r="G85" t="str">
        <f t="shared" si="25"/>
        <v>cpfilingreturnperiod</v>
      </c>
      <c r="H85" s="1" t="s">
        <v>269</v>
      </c>
      <c r="J85" t="str">
        <f t="shared" si="26"/>
        <v>debit_note_year</v>
      </c>
      <c r="K85" t="s">
        <v>289</v>
      </c>
      <c r="L85" t="str">
        <f t="shared" si="29"/>
        <v>year</v>
      </c>
      <c r="M85" t="str">
        <f>INDEX($T$32:$T$47,MATCH(L85,$S$32:$S$47,0))</f>
        <v>abap.numc(4);</v>
      </c>
      <c r="O85" t="str">
        <f t="shared" si="10"/>
        <v xml:space="preserve">  debit_note_year         : abap.numc(4);</v>
      </c>
    </row>
    <row r="86" spans="5:15" x14ac:dyDescent="0.25">
      <c r="E86" s="2"/>
      <c r="F86" s="2"/>
      <c r="G86" t="str">
        <f t="shared" si="25"/>
        <v/>
      </c>
      <c r="H86" s="1" t="s">
        <v>270</v>
      </c>
      <c r="J86" t="str">
        <f t="shared" si="26"/>
        <v>debit_note_posted_on</v>
      </c>
      <c r="K86" t="s">
        <v>289</v>
      </c>
      <c r="L86" t="str">
        <f t="shared" si="29"/>
        <v>date</v>
      </c>
      <c r="M86" t="str">
        <f>INDEX($T$32:$T$47,MATCH(L86,$S$32:$S$47,0))</f>
        <v>abap.dats;</v>
      </c>
      <c r="O86" t="str">
        <f t="shared" si="10"/>
        <v xml:space="preserve">  debit_note_posted_on    : abap.dats;</v>
      </c>
    </row>
    <row r="87" spans="5:15" x14ac:dyDescent="0.25">
      <c r="E87" s="1" t="s">
        <v>167</v>
      </c>
      <c r="F87" s="1" t="s">
        <v>893</v>
      </c>
      <c r="G87" t="str">
        <f t="shared" si="25"/>
        <v>isgstr3bfiled</v>
      </c>
      <c r="H87" s="1" t="s">
        <v>271</v>
      </c>
      <c r="J87" t="str">
        <f t="shared" si="26"/>
        <v>debit_note_posted_at</v>
      </c>
      <c r="K87" t="s">
        <v>289</v>
      </c>
      <c r="L87" t="str">
        <f t="shared" si="29"/>
        <v>time</v>
      </c>
      <c r="M87" t="str">
        <f>INDEX($T$32:$T$47,MATCH(L87,$S$32:$S$47,0))</f>
        <v>abap.tims;</v>
      </c>
      <c r="O87" t="str">
        <f t="shared" si="10"/>
        <v xml:space="preserve">  debit_note_posted_at    : abap.tims;</v>
      </c>
    </row>
    <row r="88" spans="5:15" x14ac:dyDescent="0.25">
      <c r="E88" s="1" t="s">
        <v>168</v>
      </c>
      <c r="F88" s="1" t="s">
        <v>893</v>
      </c>
      <c r="G88" t="str">
        <f t="shared" si="25"/>
        <v>isgstr3bfildate</v>
      </c>
      <c r="H88" s="1" t="s">
        <v>272</v>
      </c>
      <c r="J88" t="str">
        <f t="shared" si="26"/>
        <v>debit_note_posted_by</v>
      </c>
      <c r="K88" t="s">
        <v>289</v>
      </c>
      <c r="L88" t="str">
        <f t="shared" si="29"/>
        <v>user</v>
      </c>
      <c r="M88" t="str">
        <f>INDEX($T$32:$T$47,MATCH(L88,$S$32:$S$47,0))</f>
        <v>abap.char(80);</v>
      </c>
      <c r="O88" t="str">
        <f t="shared" si="10"/>
        <v xml:space="preserve">  debit_note_posted_by    : abap.char(80);</v>
      </c>
    </row>
    <row r="89" spans="5:15" x14ac:dyDescent="0.25">
      <c r="E89" s="2"/>
      <c r="F89" s="2"/>
      <c r="G89" t="str">
        <f t="shared" si="25"/>
        <v/>
      </c>
      <c r="H89" s="1" t="s">
        <v>273</v>
      </c>
      <c r="J89" t="str">
        <f t="shared" si="26"/>
        <v>debit_note_comment</v>
      </c>
      <c r="K89" t="s">
        <v>289</v>
      </c>
      <c r="L89" t="str">
        <f t="shared" si="29"/>
        <v>comment</v>
      </c>
      <c r="M89" t="str">
        <f>INDEX($T$32:$T$47,MATCH(L89,$S$32:$S$47,0))</f>
        <v>abap.char(200);</v>
      </c>
      <c r="O89" t="str">
        <f t="shared" si="10"/>
        <v xml:space="preserve">  debit_note_comment      : abap.char(200);</v>
      </c>
    </row>
    <row r="90" spans="5:15" x14ac:dyDescent="0.25">
      <c r="E90" s="1" t="s">
        <v>169</v>
      </c>
      <c r="F90" s="1" t="s">
        <v>899</v>
      </c>
      <c r="G90" t="str">
        <f t="shared" si="25"/>
        <v>cpitcavailability</v>
      </c>
      <c r="H90" s="2"/>
      <c r="J90" t="str">
        <f t="shared" si="26"/>
        <v/>
      </c>
      <c r="K90" t="s">
        <v>289</v>
      </c>
      <c r="O90" t="str">
        <f t="shared" si="10"/>
        <v/>
      </c>
    </row>
    <row r="91" spans="5:15" x14ac:dyDescent="0.25">
      <c r="E91" s="1" t="s">
        <v>170</v>
      </c>
      <c r="F91" s="1" t="s">
        <v>899</v>
      </c>
      <c r="G91" t="str">
        <f t="shared" si="25"/>
        <v>cpreturnperiod</v>
      </c>
      <c r="H91" s="1" t="s">
        <v>274</v>
      </c>
      <c r="J91" t="str">
        <f t="shared" si="26"/>
        <v>debit_note_rev_comp</v>
      </c>
      <c r="K91" t="s">
        <v>289</v>
      </c>
      <c r="L91" t="str">
        <f t="shared" ref="L91" si="30">SUBSTITUTE(TRIM(RIGHT(SUBSTITUTE(TRIM(H91),"_",REPT(" ",100)),100)),";","")</f>
        <v>comp</v>
      </c>
      <c r="M91" t="str">
        <f>INDEX($T$32:$T$47,MATCH(L91,$S$32:$S$47,0))</f>
        <v>abap.char(4);</v>
      </c>
      <c r="O91" t="str">
        <f t="shared" si="10"/>
        <v xml:space="preserve">  debit_note_rev_comp     : abap.char(4);</v>
      </c>
    </row>
    <row r="92" spans="5:15" x14ac:dyDescent="0.25">
      <c r="E92" s="1" t="s">
        <v>171</v>
      </c>
      <c r="F92" s="1" t="s">
        <v>899</v>
      </c>
      <c r="G92" t="str">
        <f t="shared" si="25"/>
        <v>cpisamendment</v>
      </c>
      <c r="H92" s="1" t="s">
        <v>275</v>
      </c>
      <c r="J92" t="str">
        <f t="shared" si="26"/>
        <v>debit_note_rev_num</v>
      </c>
      <c r="K92" t="s">
        <v>289</v>
      </c>
      <c r="L92" t="str">
        <f t="shared" ref="L92:L97" si="31">SUBSTITUTE(TRIM(RIGHT(SUBSTITUTE(TRIM(H92),"_",REPT(" ",100)),100)),";","")</f>
        <v>num</v>
      </c>
      <c r="M92" t="str">
        <f>INDEX($T$32:$T$60,MATCH(L92,$S$32:$S$60,0))</f>
        <v>abap.numc(4);</v>
      </c>
      <c r="O92" t="str">
        <f t="shared" si="10"/>
        <v xml:space="preserve">  debit_note_rev_num      : abap.numc(4);</v>
      </c>
    </row>
    <row r="93" spans="5:15" x14ac:dyDescent="0.25">
      <c r="E93" s="1" t="s">
        <v>172</v>
      </c>
      <c r="F93" s="1" t="s">
        <v>899</v>
      </c>
      <c r="G93" t="str">
        <f t="shared" si="25"/>
        <v>cpavailableingstr2b</v>
      </c>
      <c r="H93" s="1" t="s">
        <v>276</v>
      </c>
      <c r="J93" t="str">
        <f t="shared" si="26"/>
        <v>debit_note_rev_year</v>
      </c>
      <c r="K93" t="s">
        <v>289</v>
      </c>
      <c r="L93" t="str">
        <f t="shared" si="31"/>
        <v>year</v>
      </c>
      <c r="M93" t="str">
        <f>INDEX($T$32:$T$47,MATCH(L93,$S$32:$S$47,0))</f>
        <v>abap.numc(4);</v>
      </c>
      <c r="O93" t="str">
        <f t="shared" ref="O93:O105" si="32">IFERROR(LEFT(H93,FIND(":",H93))&amp;" "&amp;M93,"")</f>
        <v xml:space="preserve">  debit_note_rev_year     : abap.numc(4);</v>
      </c>
    </row>
    <row r="94" spans="5:15" x14ac:dyDescent="0.25">
      <c r="E94" s="1" t="s">
        <v>173</v>
      </c>
      <c r="F94" s="1" t="s">
        <v>899</v>
      </c>
      <c r="G94" t="str">
        <f t="shared" si="25"/>
        <v>cpgstr2breturnperiod</v>
      </c>
      <c r="H94" s="1" t="s">
        <v>277</v>
      </c>
      <c r="J94" t="str">
        <f t="shared" si="26"/>
        <v>debit_note_reversed_on</v>
      </c>
      <c r="K94" t="s">
        <v>289</v>
      </c>
      <c r="L94" t="str">
        <f t="shared" si="31"/>
        <v>date</v>
      </c>
      <c r="M94" t="str">
        <f>INDEX($T$32:$T$47,MATCH(L94,$S$32:$S$47,0))</f>
        <v>abap.dats;</v>
      </c>
      <c r="O94" t="str">
        <f t="shared" si="32"/>
        <v xml:space="preserve">  debit_note_reversed_on  : abap.dats;</v>
      </c>
    </row>
    <row r="95" spans="5:15" x14ac:dyDescent="0.25">
      <c r="E95" s="1" t="s">
        <v>174</v>
      </c>
      <c r="F95" s="1" t="s">
        <v>899</v>
      </c>
      <c r="G95" t="str">
        <f t="shared" si="25"/>
        <v>cpavailableingstr98a</v>
      </c>
      <c r="H95" s="1" t="s">
        <v>278</v>
      </c>
      <c r="J95" t="str">
        <f t="shared" si="26"/>
        <v>debit_note_reversed_at</v>
      </c>
      <c r="K95" t="s">
        <v>289</v>
      </c>
      <c r="L95" t="str">
        <f t="shared" si="31"/>
        <v>time</v>
      </c>
      <c r="M95" t="str">
        <f>INDEX($T$32:$T$47,MATCH(L95,$S$32:$S$47,0))</f>
        <v>abap.tims;</v>
      </c>
      <c r="O95" t="str">
        <f t="shared" si="32"/>
        <v xml:space="preserve">  debit_note_reversed_at  : abap.tims;</v>
      </c>
    </row>
    <row r="96" spans="5:15" x14ac:dyDescent="0.25">
      <c r="E96" s="1" t="s">
        <v>175</v>
      </c>
      <c r="F96" s="1" t="s">
        <v>899</v>
      </c>
      <c r="G96" t="str">
        <f t="shared" si="25"/>
        <v>cpitcclaimmonth</v>
      </c>
      <c r="H96" s="1" t="s">
        <v>279</v>
      </c>
      <c r="J96" t="str">
        <f t="shared" si="26"/>
        <v>debit_note_reversed_by</v>
      </c>
      <c r="K96" t="s">
        <v>289</v>
      </c>
      <c r="L96" t="str">
        <f t="shared" si="31"/>
        <v>user</v>
      </c>
      <c r="M96" t="str">
        <f>INDEX($T$32:$T$47,MATCH(L96,$S$32:$S$47,0))</f>
        <v>abap.char(80);</v>
      </c>
      <c r="O96" t="str">
        <f t="shared" si="32"/>
        <v xml:space="preserve">  debit_note_reversed_by  : abap.char(80);</v>
      </c>
    </row>
    <row r="97" spans="5:15" x14ac:dyDescent="0.25">
      <c r="E97" s="2"/>
      <c r="F97" s="2"/>
      <c r="G97" t="str">
        <f t="shared" si="25"/>
        <v/>
      </c>
      <c r="H97" s="1" t="s">
        <v>280</v>
      </c>
      <c r="J97" t="str">
        <f t="shared" si="26"/>
        <v>debit_note_rev_comment</v>
      </c>
      <c r="K97" t="s">
        <v>289</v>
      </c>
      <c r="L97" t="str">
        <f t="shared" si="31"/>
        <v>comment</v>
      </c>
      <c r="M97" t="str">
        <f t="shared" ref="M97:M105" si="33">INDEX($T$32:$T$47,MATCH(L97,$S$32:$S$47,0))</f>
        <v>abap.char(200);</v>
      </c>
      <c r="O97" t="str">
        <f t="shared" si="32"/>
        <v xml:space="preserve">  debit_note_rev_comment  : abap.char(200);</v>
      </c>
    </row>
    <row r="98" spans="5:15" x14ac:dyDescent="0.25">
      <c r="E98" s="1" t="s">
        <v>176</v>
      </c>
      <c r="F98" s="1" t="s">
        <v>893</v>
      </c>
      <c r="G98" t="str">
        <f t="shared" si="25"/>
        <v>billfromlegalname</v>
      </c>
      <c r="H98" s="2"/>
      <c r="J98" t="str">
        <f t="shared" si="26"/>
        <v/>
      </c>
      <c r="K98" t="s">
        <v>289</v>
      </c>
      <c r="O98" t="str">
        <f t="shared" si="32"/>
        <v/>
      </c>
    </row>
    <row r="99" spans="5:15" x14ac:dyDescent="0.25">
      <c r="E99" s="1" t="s">
        <v>177</v>
      </c>
      <c r="F99" s="1" t="s">
        <v>893</v>
      </c>
      <c r="G99" t="str">
        <f t="shared" si="25"/>
        <v>billfromtradename</v>
      </c>
      <c r="H99" s="1" t="s">
        <v>281</v>
      </c>
      <c r="I99" t="s">
        <v>533</v>
      </c>
      <c r="J99" t="str">
        <f t="shared" si="26"/>
        <v>message</v>
      </c>
      <c r="K99" t="s">
        <v>289</v>
      </c>
      <c r="L99" t="str">
        <f t="shared" ref="L99" si="34">SUBSTITUTE(TRIM(RIGHT(SUBSTITUTE(TRIM(H99),"_",REPT(" ",100)),100)),";","")</f>
        <v>message</v>
      </c>
      <c r="M99" t="str">
        <f t="shared" si="33"/>
        <v>abap.char(200);</v>
      </c>
      <c r="O99" t="str">
        <f t="shared" si="32"/>
        <v xml:space="preserve">  message                 : abap.char(200);</v>
      </c>
    </row>
    <row r="100" spans="5:15" x14ac:dyDescent="0.25">
      <c r="E100" s="2"/>
      <c r="F100" s="2"/>
      <c r="G100" t="str">
        <f t="shared" si="25"/>
        <v/>
      </c>
      <c r="H100" s="2"/>
      <c r="J100" t="str">
        <f t="shared" si="26"/>
        <v/>
      </c>
      <c r="K100" t="s">
        <v>289</v>
      </c>
      <c r="O100" t="str">
        <f t="shared" si="32"/>
        <v/>
      </c>
    </row>
    <row r="101" spans="5:15" x14ac:dyDescent="0.25">
      <c r="E101" s="1" t="s">
        <v>178</v>
      </c>
      <c r="F101" s="1" t="s">
        <v>900</v>
      </c>
      <c r="G101" t="str">
        <f t="shared" si="25"/>
        <v>pos</v>
      </c>
      <c r="H101" s="1" t="s">
        <v>282</v>
      </c>
      <c r="J101" t="str">
        <f t="shared" si="26"/>
        <v>last_checked_on</v>
      </c>
      <c r="K101" t="s">
        <v>289</v>
      </c>
      <c r="L101" t="str">
        <f t="shared" ref="L101" si="35">SUBSTITUTE(TRIM(RIGHT(SUBSTITUTE(TRIM(H101),"_",REPT(" ",100)),100)),";","")</f>
        <v>date</v>
      </c>
      <c r="M101" t="str">
        <f t="shared" si="33"/>
        <v>abap.dats;</v>
      </c>
      <c r="O101" t="str">
        <f t="shared" si="32"/>
        <v xml:space="preserve">  last_checked_on         : abap.dats;</v>
      </c>
    </row>
    <row r="102" spans="5:15" x14ac:dyDescent="0.25">
      <c r="E102" s="1" t="s">
        <v>179</v>
      </c>
      <c r="F102" s="1" t="s">
        <v>901</v>
      </c>
      <c r="G102" t="str">
        <f t="shared" si="25"/>
        <v>reversecharge</v>
      </c>
      <c r="H102" s="1" t="s">
        <v>283</v>
      </c>
      <c r="J102" t="str">
        <f t="shared" si="26"/>
        <v>last_checked_at</v>
      </c>
      <c r="K102" t="s">
        <v>289</v>
      </c>
      <c r="L102" t="str">
        <f t="shared" ref="L102:L103" si="36">SUBSTITUTE(TRIM(RIGHT(SUBSTITUTE(TRIM(H102),"_",REPT(" ",100)),100)),";","")</f>
        <v>time</v>
      </c>
      <c r="M102" t="str">
        <f t="shared" si="33"/>
        <v>abap.tims;</v>
      </c>
      <c r="O102" t="str">
        <f t="shared" si="32"/>
        <v xml:space="preserve">  last_checked_at         : abap.tims;</v>
      </c>
    </row>
    <row r="103" spans="5:15" x14ac:dyDescent="0.25">
      <c r="E103" s="1" t="s">
        <v>180</v>
      </c>
      <c r="F103" s="1" t="s">
        <v>890</v>
      </c>
      <c r="G103" t="str">
        <f t="shared" si="25"/>
        <v>transactiontype</v>
      </c>
      <c r="H103" s="1" t="s">
        <v>284</v>
      </c>
      <c r="J103" t="str">
        <f t="shared" si="26"/>
        <v>last_checked_by</v>
      </c>
      <c r="K103" t="s">
        <v>289</v>
      </c>
      <c r="L103" t="str">
        <f t="shared" si="36"/>
        <v>user</v>
      </c>
      <c r="M103" t="str">
        <f t="shared" si="33"/>
        <v>abap.char(80);</v>
      </c>
      <c r="O103" t="str">
        <f t="shared" si="32"/>
        <v xml:space="preserve">  last_checked_by         : abap.char(80);</v>
      </c>
    </row>
    <row r="104" spans="5:15" x14ac:dyDescent="0.25">
      <c r="E104" s="1" t="s">
        <v>181</v>
      </c>
      <c r="F104" s="1" t="s">
        <v>902</v>
      </c>
      <c r="G104" t="str">
        <f t="shared" si="25"/>
        <v>taxpayertype</v>
      </c>
      <c r="H104" s="2"/>
      <c r="J104" t="str">
        <f t="shared" si="26"/>
        <v/>
      </c>
      <c r="K104" t="s">
        <v>289</v>
      </c>
      <c r="O104" t="str">
        <f t="shared" si="32"/>
        <v/>
      </c>
    </row>
    <row r="105" spans="5:15" x14ac:dyDescent="0.25">
      <c r="E105" s="2"/>
      <c r="F105" s="2"/>
      <c r="G105" t="str">
        <f t="shared" si="25"/>
        <v/>
      </c>
      <c r="H105" s="1" t="s">
        <v>285</v>
      </c>
      <c r="I105" t="s">
        <v>533</v>
      </c>
      <c r="J105" t="str">
        <f t="shared" si="26"/>
        <v>processing_options</v>
      </c>
      <c r="K105" t="s">
        <v>289</v>
      </c>
      <c r="L105" t="str">
        <f t="shared" ref="L105" si="37">SUBSTITUTE(TRIM(RIGHT(SUBSTITUTE(TRIM(H105),"_",REPT(" ",100)),100)),";","")</f>
        <v>opt</v>
      </c>
      <c r="M105" t="str">
        <f t="shared" si="33"/>
        <v>abap.char(200);</v>
      </c>
      <c r="O105" t="str">
        <f t="shared" si="32"/>
        <v xml:space="preserve">  processing_options      : abap.char(200);</v>
      </c>
    </row>
    <row r="106" spans="5:15" x14ac:dyDescent="0.25">
      <c r="E106" s="1" t="s">
        <v>210</v>
      </c>
      <c r="F106" s="1"/>
      <c r="G106" t="str">
        <f t="shared" si="25"/>
        <v/>
      </c>
      <c r="H106" s="2"/>
      <c r="J106" t="str">
        <f t="shared" si="26"/>
        <v/>
      </c>
      <c r="K106" t="s">
        <v>289</v>
      </c>
    </row>
    <row r="107" spans="5:15" x14ac:dyDescent="0.25">
      <c r="E107" s="1" t="s">
        <v>182</v>
      </c>
      <c r="F107" s="1" t="s">
        <v>894</v>
      </c>
      <c r="G107" t="str">
        <f t="shared" si="25"/>
        <v>cessamount</v>
      </c>
      <c r="H107" s="1" t="s">
        <v>286</v>
      </c>
      <c r="J107" t="str">
        <f t="shared" si="26"/>
        <v>wronggst</v>
      </c>
      <c r="K107" t="s">
        <v>289</v>
      </c>
    </row>
    <row r="108" spans="5:15" x14ac:dyDescent="0.25">
      <c r="E108" s="2"/>
      <c r="F108" s="2"/>
      <c r="G108" t="str">
        <f t="shared" si="25"/>
        <v/>
      </c>
      <c r="H108" s="1" t="s">
        <v>287</v>
      </c>
      <c r="I108" t="s">
        <v>525</v>
      </c>
      <c r="J108" t="str">
        <f t="shared" si="26"/>
        <v>gstin</v>
      </c>
      <c r="K108" t="s">
        <v>289</v>
      </c>
      <c r="M108" t="s">
        <v>884</v>
      </c>
    </row>
    <row r="109" spans="5:15" x14ac:dyDescent="0.25">
      <c r="E109" s="1" t="s">
        <v>183</v>
      </c>
      <c r="F109" s="1" t="s">
        <v>893</v>
      </c>
      <c r="G109" t="str">
        <f t="shared" si="25"/>
        <v>isamendment</v>
      </c>
      <c r="H109" s="1" t="s">
        <v>288</v>
      </c>
      <c r="J109" t="str">
        <f t="shared" si="26"/>
        <v>gstin_part</v>
      </c>
      <c r="K109" t="s">
        <v>289</v>
      </c>
    </row>
    <row r="110" spans="5:15" x14ac:dyDescent="0.25">
      <c r="E110" s="2"/>
      <c r="F110" s="2"/>
      <c r="G110" t="str">
        <f t="shared" si="25"/>
        <v/>
      </c>
      <c r="H110" s="1" t="s">
        <v>104</v>
      </c>
      <c r="I110" t="s">
        <v>538</v>
      </c>
      <c r="J110" t="str">
        <f t="shared" si="26"/>
        <v>documenttype</v>
      </c>
      <c r="K110" t="s">
        <v>289</v>
      </c>
      <c r="M110" t="s">
        <v>885</v>
      </c>
    </row>
    <row r="111" spans="5:15" x14ac:dyDescent="0.25">
      <c r="E111" s="1" t="s">
        <v>184</v>
      </c>
      <c r="F111" s="1" t="s">
        <v>893</v>
      </c>
      <c r="G111" t="str">
        <f t="shared" si="25"/>
        <v>custom2</v>
      </c>
      <c r="H111" s="1" t="s">
        <v>105</v>
      </c>
      <c r="I111" t="s">
        <v>539</v>
      </c>
      <c r="J111" t="str">
        <f t="shared" si="26"/>
        <v>remark</v>
      </c>
      <c r="K111" t="s">
        <v>289</v>
      </c>
      <c r="M111" t="s">
        <v>886</v>
      </c>
    </row>
    <row r="112" spans="5:15" x14ac:dyDescent="0.25">
      <c r="E112" s="1" t="s">
        <v>185</v>
      </c>
      <c r="F112" s="1" t="s">
        <v>893</v>
      </c>
      <c r="G112" t="str">
        <f t="shared" si="25"/>
        <v>custom3</v>
      </c>
      <c r="H112" s="1" t="s">
        <v>6</v>
      </c>
    </row>
    <row r="113" spans="5:7" x14ac:dyDescent="0.25">
      <c r="E113" s="1" t="s">
        <v>186</v>
      </c>
      <c r="F113" s="1" t="s">
        <v>893</v>
      </c>
      <c r="G113" t="str">
        <f t="shared" si="25"/>
        <v>custom5</v>
      </c>
    </row>
    <row r="114" spans="5:7" x14ac:dyDescent="0.25">
      <c r="E114" s="1" t="s">
        <v>187</v>
      </c>
      <c r="F114" s="1" t="s">
        <v>893</v>
      </c>
      <c r="G114" t="str">
        <f t="shared" si="25"/>
        <v>custom6</v>
      </c>
    </row>
    <row r="115" spans="5:7" x14ac:dyDescent="0.25">
      <c r="E115" s="1" t="s">
        <v>188</v>
      </c>
      <c r="F115" s="1" t="s">
        <v>893</v>
      </c>
      <c r="G115" t="str">
        <f t="shared" si="25"/>
        <v>custom7</v>
      </c>
    </row>
    <row r="116" spans="5:7" x14ac:dyDescent="0.25">
      <c r="E116" s="1" t="s">
        <v>189</v>
      </c>
      <c r="F116" s="1" t="s">
        <v>893</v>
      </c>
      <c r="G116" t="str">
        <f t="shared" si="25"/>
        <v>custom8</v>
      </c>
    </row>
    <row r="117" spans="5:7" x14ac:dyDescent="0.25">
      <c r="E117" s="1" t="s">
        <v>190</v>
      </c>
      <c r="F117" s="1" t="s">
        <v>893</v>
      </c>
      <c r="G117" t="str">
        <f t="shared" si="25"/>
        <v>custom10</v>
      </c>
    </row>
    <row r="118" spans="5:7" x14ac:dyDescent="0.25">
      <c r="E118" s="2"/>
      <c r="F118" s="2"/>
      <c r="G118" t="str">
        <f t="shared" si="25"/>
        <v/>
      </c>
    </row>
    <row r="119" spans="5:7" x14ac:dyDescent="0.25">
      <c r="E119" s="1" t="s">
        <v>191</v>
      </c>
      <c r="F119" s="1" t="s">
        <v>903</v>
      </c>
      <c r="G119" t="str">
        <f t="shared" si="25"/>
        <v>hsn</v>
      </c>
    </row>
    <row r="120" spans="5:7" x14ac:dyDescent="0.25">
      <c r="E120" s="1" t="s">
        <v>192</v>
      </c>
      <c r="F120" s="1" t="s">
        <v>900</v>
      </c>
      <c r="G120" t="str">
        <f t="shared" si="25"/>
        <v>itceligibility</v>
      </c>
    </row>
    <row r="121" spans="5:7" x14ac:dyDescent="0.25">
      <c r="E121" s="2"/>
      <c r="F121" s="2"/>
      <c r="G121" t="str">
        <f t="shared" si="25"/>
        <v/>
      </c>
    </row>
    <row r="122" spans="5:7" x14ac:dyDescent="0.25">
      <c r="E122" s="1" t="s">
        <v>210</v>
      </c>
      <c r="F122" s="1"/>
      <c r="G122" t="str">
        <f t="shared" si="25"/>
        <v/>
      </c>
    </row>
    <row r="123" spans="5:7" x14ac:dyDescent="0.25">
      <c r="E123" s="1" t="s">
        <v>193</v>
      </c>
      <c r="F123" s="1" t="s">
        <v>894</v>
      </c>
      <c r="G123" t="str">
        <f t="shared" si="25"/>
        <v>itcigstamount</v>
      </c>
    </row>
    <row r="124" spans="5:7" x14ac:dyDescent="0.25">
      <c r="E124" s="2"/>
      <c r="F124" s="2"/>
      <c r="G124" t="str">
        <f t="shared" si="25"/>
        <v/>
      </c>
    </row>
    <row r="125" spans="5:7" x14ac:dyDescent="0.25">
      <c r="E125" s="1" t="s">
        <v>210</v>
      </c>
      <c r="F125" s="1"/>
      <c r="G125" t="str">
        <f t="shared" si="25"/>
        <v/>
      </c>
    </row>
    <row r="126" spans="5:7" x14ac:dyDescent="0.25">
      <c r="E126" s="1" t="s">
        <v>194</v>
      </c>
      <c r="F126" s="1" t="s">
        <v>894</v>
      </c>
      <c r="G126" t="str">
        <f t="shared" si="25"/>
        <v>itccgstamount</v>
      </c>
    </row>
    <row r="127" spans="5:7" x14ac:dyDescent="0.25">
      <c r="E127" s="2"/>
      <c r="F127" s="2"/>
      <c r="G127" t="str">
        <f t="shared" si="25"/>
        <v/>
      </c>
    </row>
    <row r="128" spans="5:7" x14ac:dyDescent="0.25">
      <c r="E128" s="1" t="s">
        <v>210</v>
      </c>
      <c r="F128" s="1"/>
      <c r="G128" t="str">
        <f t="shared" si="25"/>
        <v/>
      </c>
    </row>
    <row r="129" spans="5:7" x14ac:dyDescent="0.25">
      <c r="E129" s="1" t="s">
        <v>195</v>
      </c>
      <c r="F129" s="1" t="s">
        <v>894</v>
      </c>
      <c r="G129" t="str">
        <f t="shared" si="25"/>
        <v>itcsgstamount</v>
      </c>
    </row>
    <row r="130" spans="5:7" x14ac:dyDescent="0.25">
      <c r="E130" s="2"/>
      <c r="F130" s="2"/>
      <c r="G130" t="str">
        <f t="shared" si="25"/>
        <v/>
      </c>
    </row>
    <row r="131" spans="5:7" x14ac:dyDescent="0.25">
      <c r="E131" s="1" t="s">
        <v>210</v>
      </c>
      <c r="F131" s="1"/>
      <c r="G131" t="str">
        <f t="shared" si="25"/>
        <v/>
      </c>
    </row>
    <row r="132" spans="5:7" x14ac:dyDescent="0.25">
      <c r="E132" s="1" t="s">
        <v>196</v>
      </c>
      <c r="F132" s="1" t="s">
        <v>894</v>
      </c>
      <c r="G132" t="str">
        <f t="shared" si="25"/>
        <v>itccessamount</v>
      </c>
    </row>
    <row r="133" spans="5:7" x14ac:dyDescent="0.25">
      <c r="E133" s="2"/>
      <c r="F133" s="2"/>
      <c r="G133" t="str">
        <f t="shared" si="25"/>
        <v/>
      </c>
    </row>
    <row r="134" spans="5:7" x14ac:dyDescent="0.25">
      <c r="E134" s="1" t="s">
        <v>197</v>
      </c>
      <c r="F134" s="1" t="s">
        <v>893</v>
      </c>
      <c r="G134" t="str">
        <f t="shared" si="25"/>
        <v>customitem3</v>
      </c>
    </row>
    <row r="135" spans="5:7" x14ac:dyDescent="0.25">
      <c r="E135" s="2"/>
      <c r="F135" s="2"/>
      <c r="G135" t="str">
        <f t="shared" si="25"/>
        <v/>
      </c>
    </row>
    <row r="136" spans="5:7" x14ac:dyDescent="0.25">
      <c r="E136" s="1" t="s">
        <v>204</v>
      </c>
      <c r="F136" s="1"/>
      <c r="G136" t="str">
        <f t="shared" si="25"/>
        <v/>
      </c>
    </row>
    <row r="137" spans="5:7" x14ac:dyDescent="0.25">
      <c r="E137" s="1" t="s">
        <v>198</v>
      </c>
      <c r="F137" s="1" t="s">
        <v>894</v>
      </c>
      <c r="G137" t="str">
        <f t="shared" si="25"/>
        <v>valuediff</v>
      </c>
    </row>
    <row r="138" spans="5:7" x14ac:dyDescent="0.25">
      <c r="E138" s="2"/>
      <c r="F138" s="2"/>
      <c r="G138" t="str">
        <f t="shared" ref="G138:G145" si="38">IF(ISNUMBER(SEARCH("@",IFERROR(TRIM(SUBSTITUTE(MID(E138,1,FIND(":",E138)-1),"key","")),""))),"",IFERROR(TRIM(SUBSTITUTE(MID(E138,1,FIND(":",E138)-1),"key","")),""))</f>
        <v/>
      </c>
    </row>
    <row r="139" spans="5:7" x14ac:dyDescent="0.25">
      <c r="E139" s="1" t="s">
        <v>204</v>
      </c>
      <c r="F139" s="1"/>
      <c r="G139" t="str">
        <f t="shared" si="38"/>
        <v/>
      </c>
    </row>
    <row r="140" spans="5:7" x14ac:dyDescent="0.25">
      <c r="E140" s="1" t="s">
        <v>199</v>
      </c>
      <c r="F140" s="1" t="s">
        <v>894</v>
      </c>
      <c r="G140" t="str">
        <f t="shared" si="38"/>
        <v>taxablediff</v>
      </c>
    </row>
    <row r="141" spans="5:7" x14ac:dyDescent="0.25">
      <c r="E141" s="2"/>
      <c r="F141" s="2"/>
      <c r="G141" t="str">
        <f t="shared" si="38"/>
        <v/>
      </c>
    </row>
    <row r="142" spans="5:7" x14ac:dyDescent="0.25">
      <c r="E142" s="1" t="s">
        <v>204</v>
      </c>
      <c r="F142" s="1"/>
      <c r="G142" t="str">
        <f t="shared" si="38"/>
        <v/>
      </c>
    </row>
    <row r="143" spans="5:7" x14ac:dyDescent="0.25">
      <c r="E143" s="1" t="s">
        <v>200</v>
      </c>
      <c r="F143" s="1" t="s">
        <v>894</v>
      </c>
      <c r="G143" t="str">
        <f t="shared" si="38"/>
        <v>taxdiff</v>
      </c>
    </row>
    <row r="144" spans="5:7" x14ac:dyDescent="0.25">
      <c r="E144" s="2"/>
      <c r="F144" s="2"/>
      <c r="G144" t="str">
        <f t="shared" si="38"/>
        <v/>
      </c>
    </row>
    <row r="145" spans="5:7" x14ac:dyDescent="0.25">
      <c r="E145" s="1" t="s">
        <v>201</v>
      </c>
      <c r="F145" s="1" t="s">
        <v>898</v>
      </c>
      <c r="G145" t="str">
        <f t="shared" si="38"/>
        <v>msme</v>
      </c>
    </row>
    <row r="146" spans="5:7" x14ac:dyDescent="0.25">
      <c r="E146" s="1" t="s">
        <v>6</v>
      </c>
      <c r="F1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FBC5-6E62-479C-9E94-94BECFF0A4A6}">
  <dimension ref="E3:G3"/>
  <sheetViews>
    <sheetView workbookViewId="0">
      <selection activeCell="F4" sqref="F4"/>
    </sheetView>
  </sheetViews>
  <sheetFormatPr defaultRowHeight="15" x14ac:dyDescent="0.25"/>
  <cols>
    <col min="5" max="5" width="20.140625" bestFit="1" customWidth="1"/>
  </cols>
  <sheetData>
    <row r="3" spans="5:7" x14ac:dyDescent="0.25">
      <c r="E3" t="s">
        <v>887</v>
      </c>
      <c r="F3" t="s">
        <v>889</v>
      </c>
      <c r="G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F524-95D8-4616-B139-DDB39DF9CC16}">
  <dimension ref="B2:D522"/>
  <sheetViews>
    <sheetView workbookViewId="0">
      <pane ySplit="7" topLeftCell="A8" activePane="bottomLeft" state="frozen"/>
      <selection pane="bottomLeft" activeCell="C14" sqref="C14"/>
    </sheetView>
  </sheetViews>
  <sheetFormatPr defaultRowHeight="15" x14ac:dyDescent="0.25"/>
  <cols>
    <col min="2" max="2" width="71.7109375" customWidth="1"/>
    <col min="3" max="3" width="13.28515625" customWidth="1"/>
  </cols>
  <sheetData>
    <row r="2" spans="2:4" x14ac:dyDescent="0.25">
      <c r="B2" s="1" t="s">
        <v>290</v>
      </c>
      <c r="C2" s="1"/>
    </row>
    <row r="3" spans="2:4" x14ac:dyDescent="0.25">
      <c r="B3" s="1" t="s">
        <v>7</v>
      </c>
      <c r="C3" s="1"/>
    </row>
    <row r="4" spans="2:4" x14ac:dyDescent="0.25">
      <c r="B4" s="1" t="s">
        <v>291</v>
      </c>
      <c r="C4" s="1"/>
    </row>
    <row r="5" spans="2:4" x14ac:dyDescent="0.25">
      <c r="B5" s="1" t="s">
        <v>292</v>
      </c>
      <c r="C5" s="1"/>
    </row>
    <row r="6" spans="2:4" x14ac:dyDescent="0.25">
      <c r="B6" s="1" t="s">
        <v>293</v>
      </c>
      <c r="C6" s="1"/>
    </row>
    <row r="7" spans="2:4" x14ac:dyDescent="0.25">
      <c r="B7" s="3" t="s">
        <v>294</v>
      </c>
      <c r="C7" s="3"/>
    </row>
    <row r="8" spans="2:4" x14ac:dyDescent="0.25">
      <c r="B8" s="2"/>
      <c r="C8" s="2"/>
    </row>
    <row r="9" spans="2:4" x14ac:dyDescent="0.25">
      <c r="B9" s="1" t="s">
        <v>295</v>
      </c>
      <c r="C9" s="1"/>
      <c r="D9" t="str">
        <f>IF(ISNUMBER(SEARCH("@",IFERROR(TRIM(SUBSTITUTE(MID(B9,1,FIND(":",B9)-1),"key","")),""))),"",IFERROR(TRIM(SUBSTITUTE(MID(B9,1,FIND(":",B9)-1),"key","")),""))</f>
        <v>mandt</v>
      </c>
    </row>
    <row r="10" spans="2:4" x14ac:dyDescent="0.25">
      <c r="B10" s="1" t="s">
        <v>296</v>
      </c>
      <c r="C10" s="1"/>
      <c r="D10" t="str">
        <f t="shared" ref="D10:D73" si="0">IF(ISNUMBER(SEARCH("@",IFERROR(TRIM(SUBSTITUTE(MID(B10,1,FIND(":",B10)-1),"key","")),""))),"",IFERROR(TRIM(SUBSTITUTE(MID(B10,1,FIND(":",B10)-1),"key","")),""))</f>
        <v>custom1</v>
      </c>
    </row>
    <row r="11" spans="2:4" x14ac:dyDescent="0.25">
      <c r="B11" s="1" t="s">
        <v>297</v>
      </c>
      <c r="C11" s="1"/>
      <c r="D11" t="str">
        <f t="shared" si="0"/>
        <v>custom4</v>
      </c>
    </row>
    <row r="12" spans="2:4" x14ac:dyDescent="0.25">
      <c r="B12" s="1" t="s">
        <v>298</v>
      </c>
      <c r="C12" s="1"/>
      <c r="D12" t="str">
        <f t="shared" si="0"/>
        <v>custom9</v>
      </c>
    </row>
    <row r="13" spans="2:4" x14ac:dyDescent="0.25">
      <c r="B13" s="2"/>
      <c r="C13" s="2"/>
      <c r="D13" t="str">
        <f t="shared" si="0"/>
        <v/>
      </c>
    </row>
    <row r="14" spans="2:4" x14ac:dyDescent="0.25">
      <c r="B14" s="1" t="s">
        <v>299</v>
      </c>
      <c r="C14" s="1"/>
      <c r="D14" t="str">
        <f t="shared" si="0"/>
        <v>returnperiod</v>
      </c>
    </row>
    <row r="15" spans="2:4" x14ac:dyDescent="0.25">
      <c r="B15" s="1" t="s">
        <v>300</v>
      </c>
      <c r="C15" s="1"/>
      <c r="D15" t="str">
        <f t="shared" si="0"/>
        <v>locationgstin</v>
      </c>
    </row>
    <row r="16" spans="2:4" x14ac:dyDescent="0.25">
      <c r="B16" s="1" t="s">
        <v>301</v>
      </c>
      <c r="C16" s="1"/>
      <c r="D16" t="str">
        <f t="shared" si="0"/>
        <v>documentnumber</v>
      </c>
    </row>
    <row r="17" spans="2:4" x14ac:dyDescent="0.25">
      <c r="B17" s="1" t="s">
        <v>302</v>
      </c>
      <c r="C17" s="1"/>
      <c r="D17" t="str">
        <f t="shared" si="0"/>
        <v>serialnumber</v>
      </c>
    </row>
    <row r="18" spans="2:4" x14ac:dyDescent="0.25">
      <c r="B18" s="1" t="s">
        <v>303</v>
      </c>
      <c r="C18" s="1"/>
      <c r="D18" t="str">
        <f t="shared" si="0"/>
        <v>documentdate</v>
      </c>
    </row>
    <row r="19" spans="2:4" x14ac:dyDescent="0.25">
      <c r="B19" s="1" t="s">
        <v>304</v>
      </c>
      <c r="C19" s="1"/>
      <c r="D19" t="str">
        <f t="shared" si="0"/>
        <v>billfromgstin</v>
      </c>
    </row>
    <row r="20" spans="2:4" x14ac:dyDescent="0.25">
      <c r="B20" s="1" t="s">
        <v>305</v>
      </c>
      <c r="C20" s="1"/>
      <c r="D20" t="str">
        <f t="shared" si="0"/>
        <v>financialyear</v>
      </c>
    </row>
    <row r="21" spans="2:4" x14ac:dyDescent="0.25">
      <c r="B21" s="1" t="s">
        <v>306</v>
      </c>
      <c r="C21" s="1"/>
      <c r="D21" t="str">
        <f t="shared" si="0"/>
        <v>mapperid</v>
      </c>
    </row>
    <row r="22" spans="2:4" x14ac:dyDescent="0.25">
      <c r="B22" s="1" t="s">
        <v>307</v>
      </c>
      <c r="C22" s="1"/>
      <c r="D22" t="str">
        <f t="shared" si="0"/>
        <v>supplytype</v>
      </c>
    </row>
    <row r="23" spans="2:4" x14ac:dyDescent="0.25">
      <c r="B23" s="1" t="s">
        <v>308</v>
      </c>
      <c r="C23" s="1"/>
      <c r="D23" t="str">
        <f t="shared" si="0"/>
        <v>purpose</v>
      </c>
    </row>
    <row r="24" spans="2:4" x14ac:dyDescent="0.25">
      <c r="B24" s="1" t="s">
        <v>309</v>
      </c>
      <c r="C24" s="1"/>
      <c r="D24" t="str">
        <f t="shared" si="0"/>
        <v>locationname</v>
      </c>
    </row>
    <row r="25" spans="2:4" x14ac:dyDescent="0.25">
      <c r="B25" s="1" t="s">
        <v>310</v>
      </c>
      <c r="C25" s="1"/>
      <c r="D25" t="str">
        <f t="shared" si="0"/>
        <v>irn</v>
      </c>
    </row>
    <row r="26" spans="2:4" x14ac:dyDescent="0.25">
      <c r="B26" s="1" t="s">
        <v>311</v>
      </c>
      <c r="C26" s="1"/>
      <c r="D26" t="str">
        <f t="shared" si="0"/>
        <v>liabilitydischargereturnperiod</v>
      </c>
    </row>
    <row r="27" spans="2:4" x14ac:dyDescent="0.25">
      <c r="B27" s="1" t="s">
        <v>312</v>
      </c>
      <c r="C27" s="1"/>
      <c r="D27" t="str">
        <f t="shared" si="0"/>
        <v>itcclaimreturnperiod</v>
      </c>
    </row>
    <row r="28" spans="2:4" x14ac:dyDescent="0.25">
      <c r="B28" s="1" t="s">
        <v>313</v>
      </c>
      <c r="C28" s="1"/>
      <c r="D28" t="str">
        <f t="shared" si="0"/>
        <v>documenttype</v>
      </c>
    </row>
    <row r="29" spans="2:4" x14ac:dyDescent="0.25">
      <c r="B29" s="1" t="s">
        <v>314</v>
      </c>
      <c r="C29" s="1"/>
      <c r="D29" t="str">
        <f t="shared" si="0"/>
        <v>transactiontype</v>
      </c>
    </row>
    <row r="30" spans="2:4" x14ac:dyDescent="0.25">
      <c r="B30" s="1" t="s">
        <v>315</v>
      </c>
      <c r="C30" s="1"/>
      <c r="D30" t="str">
        <f t="shared" si="0"/>
        <v>taxpayertype</v>
      </c>
    </row>
    <row r="31" spans="2:4" x14ac:dyDescent="0.25">
      <c r="B31" s="1" t="s">
        <v>316</v>
      </c>
      <c r="C31" s="1"/>
      <c r="D31" t="str">
        <f t="shared" si="0"/>
        <v>transactionnature</v>
      </c>
    </row>
    <row r="32" spans="2:4" x14ac:dyDescent="0.25">
      <c r="B32" s="1" t="s">
        <v>317</v>
      </c>
      <c r="C32" s="1"/>
      <c r="D32" t="str">
        <f t="shared" si="0"/>
        <v>documentseriescode</v>
      </c>
    </row>
    <row r="33" spans="2:4" x14ac:dyDescent="0.25">
      <c r="B33" s="1" t="s">
        <v>318</v>
      </c>
      <c r="C33" s="1"/>
      <c r="D33" t="str">
        <f t="shared" si="0"/>
        <v>billfromlegalname</v>
      </c>
    </row>
    <row r="34" spans="2:4" x14ac:dyDescent="0.25">
      <c r="B34" s="1" t="s">
        <v>319</v>
      </c>
      <c r="C34" s="1"/>
      <c r="D34" t="str">
        <f t="shared" si="0"/>
        <v>billfromtradename</v>
      </c>
    </row>
    <row r="35" spans="2:4" x14ac:dyDescent="0.25">
      <c r="B35" s="1" t="s">
        <v>320</v>
      </c>
      <c r="C35" s="1"/>
      <c r="D35" t="str">
        <f t="shared" si="0"/>
        <v>billfromvendorcode</v>
      </c>
    </row>
    <row r="36" spans="2:4" x14ac:dyDescent="0.25">
      <c r="B36" s="1" t="s">
        <v>321</v>
      </c>
      <c r="C36" s="1"/>
      <c r="D36" t="str">
        <f t="shared" si="0"/>
        <v>billfromaddress1</v>
      </c>
    </row>
    <row r="37" spans="2:4" x14ac:dyDescent="0.25">
      <c r="B37" s="1" t="s">
        <v>322</v>
      </c>
      <c r="C37" s="1"/>
      <c r="D37" t="str">
        <f t="shared" si="0"/>
        <v>billfromaddress2</v>
      </c>
    </row>
    <row r="38" spans="2:4" x14ac:dyDescent="0.25">
      <c r="B38" s="1" t="s">
        <v>323</v>
      </c>
      <c r="C38" s="1"/>
      <c r="D38" t="str">
        <f t="shared" si="0"/>
        <v>billfromcity</v>
      </c>
    </row>
    <row r="39" spans="2:4" x14ac:dyDescent="0.25">
      <c r="B39" s="1" t="s">
        <v>324</v>
      </c>
      <c r="C39" s="1"/>
      <c r="D39" t="str">
        <f t="shared" si="0"/>
        <v>billfromstatecode</v>
      </c>
    </row>
    <row r="40" spans="2:4" x14ac:dyDescent="0.25">
      <c r="B40" s="1" t="s">
        <v>325</v>
      </c>
      <c r="C40" s="1"/>
      <c r="D40" t="str">
        <f t="shared" si="0"/>
        <v>billfrompincode</v>
      </c>
    </row>
    <row r="41" spans="2:4" x14ac:dyDescent="0.25">
      <c r="B41" s="1" t="s">
        <v>326</v>
      </c>
      <c r="C41" s="1"/>
      <c r="D41" t="str">
        <f t="shared" si="0"/>
        <v>billfromphone</v>
      </c>
    </row>
    <row r="42" spans="2:4" x14ac:dyDescent="0.25">
      <c r="B42" s="1" t="s">
        <v>327</v>
      </c>
      <c r="C42" s="1"/>
      <c r="D42" t="str">
        <f t="shared" si="0"/>
        <v>billfromemail</v>
      </c>
    </row>
    <row r="43" spans="2:4" x14ac:dyDescent="0.25">
      <c r="B43" s="1" t="s">
        <v>328</v>
      </c>
      <c r="C43" s="1"/>
      <c r="D43" t="str">
        <f t="shared" si="0"/>
        <v>dispatchfromgstin</v>
      </c>
    </row>
    <row r="44" spans="2:4" x14ac:dyDescent="0.25">
      <c r="B44" s="1" t="s">
        <v>329</v>
      </c>
      <c r="C44" s="1"/>
      <c r="D44" t="str">
        <f t="shared" si="0"/>
        <v>dispatchfromtradename</v>
      </c>
    </row>
    <row r="45" spans="2:4" x14ac:dyDescent="0.25">
      <c r="B45" s="1" t="s">
        <v>330</v>
      </c>
      <c r="C45" s="1"/>
      <c r="D45" t="str">
        <f t="shared" si="0"/>
        <v>dispatchfromvendorcode</v>
      </c>
    </row>
    <row r="46" spans="2:4" x14ac:dyDescent="0.25">
      <c r="B46" s="1" t="s">
        <v>331</v>
      </c>
      <c r="C46" s="1"/>
      <c r="D46" t="str">
        <f t="shared" si="0"/>
        <v>dispatchfromaddress1</v>
      </c>
    </row>
    <row r="47" spans="2:4" x14ac:dyDescent="0.25">
      <c r="B47" s="1" t="s">
        <v>332</v>
      </c>
      <c r="C47" s="1"/>
      <c r="D47" t="str">
        <f t="shared" si="0"/>
        <v>dispatchfromaddress2</v>
      </c>
    </row>
    <row r="48" spans="2:4" x14ac:dyDescent="0.25">
      <c r="B48" s="1" t="s">
        <v>333</v>
      </c>
      <c r="C48" s="1"/>
      <c r="D48" t="str">
        <f t="shared" si="0"/>
        <v>dispatchfromcity</v>
      </c>
    </row>
    <row r="49" spans="2:4" x14ac:dyDescent="0.25">
      <c r="B49" s="1" t="s">
        <v>334</v>
      </c>
      <c r="C49" s="1"/>
      <c r="D49" t="str">
        <f t="shared" si="0"/>
        <v>dispatchfromstatecode</v>
      </c>
    </row>
    <row r="50" spans="2:4" x14ac:dyDescent="0.25">
      <c r="B50" s="1" t="s">
        <v>335</v>
      </c>
      <c r="C50" s="1"/>
      <c r="D50" t="str">
        <f t="shared" si="0"/>
        <v>dispatchfrompincode</v>
      </c>
    </row>
    <row r="51" spans="2:4" x14ac:dyDescent="0.25">
      <c r="B51" s="1" t="s">
        <v>336</v>
      </c>
      <c r="C51" s="1"/>
      <c r="D51" t="str">
        <f t="shared" si="0"/>
        <v>billtogstin</v>
      </c>
    </row>
    <row r="52" spans="2:4" x14ac:dyDescent="0.25">
      <c r="B52" s="1" t="s">
        <v>337</v>
      </c>
      <c r="C52" s="1"/>
      <c r="D52" t="str">
        <f t="shared" si="0"/>
        <v>billtolegalname</v>
      </c>
    </row>
    <row r="53" spans="2:4" x14ac:dyDescent="0.25">
      <c r="B53" s="1" t="s">
        <v>338</v>
      </c>
      <c r="C53" s="1"/>
      <c r="D53" t="str">
        <f t="shared" si="0"/>
        <v>billtotradename</v>
      </c>
    </row>
    <row r="54" spans="2:4" x14ac:dyDescent="0.25">
      <c r="B54" s="1" t="s">
        <v>339</v>
      </c>
      <c r="C54" s="1"/>
      <c r="D54" t="str">
        <f t="shared" si="0"/>
        <v>billtovendorcode</v>
      </c>
    </row>
    <row r="55" spans="2:4" x14ac:dyDescent="0.25">
      <c r="B55" s="1" t="s">
        <v>340</v>
      </c>
      <c r="C55" s="1"/>
      <c r="D55" t="str">
        <f t="shared" si="0"/>
        <v>billtoaddress1</v>
      </c>
    </row>
    <row r="56" spans="2:4" x14ac:dyDescent="0.25">
      <c r="B56" s="1" t="s">
        <v>341</v>
      </c>
      <c r="C56" s="1"/>
      <c r="D56" t="str">
        <f t="shared" si="0"/>
        <v>billtoaddress2</v>
      </c>
    </row>
    <row r="57" spans="2:4" x14ac:dyDescent="0.25">
      <c r="B57" s="1" t="s">
        <v>342</v>
      </c>
      <c r="C57" s="1"/>
      <c r="D57" t="str">
        <f t="shared" si="0"/>
        <v>billtocity</v>
      </c>
    </row>
    <row r="58" spans="2:4" x14ac:dyDescent="0.25">
      <c r="B58" s="1" t="s">
        <v>343</v>
      </c>
      <c r="C58" s="1"/>
      <c r="D58" t="str">
        <f t="shared" si="0"/>
        <v>billtostatecode</v>
      </c>
    </row>
    <row r="59" spans="2:4" x14ac:dyDescent="0.25">
      <c r="B59" s="1" t="s">
        <v>344</v>
      </c>
      <c r="C59" s="1"/>
      <c r="D59" t="str">
        <f t="shared" si="0"/>
        <v>billtopincode</v>
      </c>
    </row>
    <row r="60" spans="2:4" x14ac:dyDescent="0.25">
      <c r="B60" s="1" t="s">
        <v>345</v>
      </c>
      <c r="C60" s="1"/>
      <c r="D60" t="str">
        <f t="shared" si="0"/>
        <v>billtophone</v>
      </c>
    </row>
    <row r="61" spans="2:4" x14ac:dyDescent="0.25">
      <c r="B61" s="1" t="s">
        <v>346</v>
      </c>
      <c r="C61" s="1"/>
      <c r="D61" t="str">
        <f t="shared" si="0"/>
        <v>billtoemail</v>
      </c>
    </row>
    <row r="62" spans="2:4" x14ac:dyDescent="0.25">
      <c r="B62" s="1" t="s">
        <v>347</v>
      </c>
      <c r="C62" s="1"/>
      <c r="D62" t="str">
        <f t="shared" si="0"/>
        <v>shiptogstin</v>
      </c>
    </row>
    <row r="63" spans="2:4" x14ac:dyDescent="0.25">
      <c r="B63" s="1" t="s">
        <v>348</v>
      </c>
      <c r="C63" s="1"/>
      <c r="D63" t="str">
        <f t="shared" si="0"/>
        <v>shiptolegalname</v>
      </c>
    </row>
    <row r="64" spans="2:4" x14ac:dyDescent="0.25">
      <c r="B64" s="1" t="s">
        <v>349</v>
      </c>
      <c r="C64" s="1"/>
      <c r="D64" t="str">
        <f t="shared" si="0"/>
        <v>shiptotradename</v>
      </c>
    </row>
    <row r="65" spans="2:4" x14ac:dyDescent="0.25">
      <c r="B65" s="1" t="s">
        <v>350</v>
      </c>
      <c r="C65" s="1"/>
      <c r="D65" t="str">
        <f t="shared" si="0"/>
        <v>shiptovendorcode</v>
      </c>
    </row>
    <row r="66" spans="2:4" x14ac:dyDescent="0.25">
      <c r="B66" s="1" t="s">
        <v>351</v>
      </c>
      <c r="C66" s="1"/>
      <c r="D66" t="str">
        <f t="shared" si="0"/>
        <v>shiptoaddress1</v>
      </c>
    </row>
    <row r="67" spans="2:4" x14ac:dyDescent="0.25">
      <c r="B67" s="1" t="s">
        <v>352</v>
      </c>
      <c r="C67" s="1"/>
      <c r="D67" t="str">
        <f t="shared" si="0"/>
        <v>shiptoaddress2</v>
      </c>
    </row>
    <row r="68" spans="2:4" x14ac:dyDescent="0.25">
      <c r="B68" s="1" t="s">
        <v>353</v>
      </c>
      <c r="C68" s="1"/>
      <c r="D68" t="str">
        <f t="shared" si="0"/>
        <v>shiptocity</v>
      </c>
    </row>
    <row r="69" spans="2:4" x14ac:dyDescent="0.25">
      <c r="B69" s="1" t="s">
        <v>354</v>
      </c>
      <c r="C69" s="1"/>
      <c r="D69" t="str">
        <f t="shared" si="0"/>
        <v>shiptopincode</v>
      </c>
    </row>
    <row r="70" spans="2:4" x14ac:dyDescent="0.25">
      <c r="B70" s="1" t="s">
        <v>355</v>
      </c>
      <c r="C70" s="1"/>
      <c r="D70" t="str">
        <f t="shared" si="0"/>
        <v>paymenttype</v>
      </c>
    </row>
    <row r="71" spans="2:4" x14ac:dyDescent="0.25">
      <c r="B71" s="1" t="s">
        <v>356</v>
      </c>
      <c r="C71" s="1"/>
      <c r="D71" t="str">
        <f t="shared" si="0"/>
        <v>paymentmode</v>
      </c>
    </row>
    <row r="72" spans="2:4" x14ac:dyDescent="0.25">
      <c r="B72" s="2"/>
      <c r="C72" s="2"/>
      <c r="D72" t="str">
        <f t="shared" si="0"/>
        <v/>
      </c>
    </row>
    <row r="73" spans="2:4" x14ac:dyDescent="0.25">
      <c r="B73" s="1" t="s">
        <v>204</v>
      </c>
      <c r="C73" s="1"/>
      <c r="D73" t="str">
        <f t="shared" si="0"/>
        <v/>
      </c>
    </row>
    <row r="74" spans="2:4" x14ac:dyDescent="0.25">
      <c r="B74" s="1" t="s">
        <v>357</v>
      </c>
      <c r="C74" s="1"/>
      <c r="D74" t="str">
        <f t="shared" ref="D74:D137" si="1">IF(ISNUMBER(SEARCH("@",IFERROR(TRIM(SUBSTITUTE(MID(B74,1,FIND(":",B74)-1),"key","")),""))),"",IFERROR(TRIM(SUBSTITUTE(MID(B74,1,FIND(":",B74)-1),"key","")),""))</f>
        <v>paymentamount</v>
      </c>
    </row>
    <row r="75" spans="2:4" x14ac:dyDescent="0.25">
      <c r="B75" s="2"/>
      <c r="C75" s="2"/>
      <c r="D75" t="str">
        <f t="shared" si="1"/>
        <v/>
      </c>
    </row>
    <row r="76" spans="2:4" x14ac:dyDescent="0.25">
      <c r="B76" s="1" t="s">
        <v>204</v>
      </c>
      <c r="C76" s="1"/>
      <c r="D76" t="str">
        <f t="shared" si="1"/>
        <v/>
      </c>
    </row>
    <row r="77" spans="2:4" x14ac:dyDescent="0.25">
      <c r="B77" s="1" t="s">
        <v>358</v>
      </c>
      <c r="C77" s="1"/>
      <c r="D77" t="str">
        <f t="shared" si="1"/>
        <v>advancepaidamount</v>
      </c>
    </row>
    <row r="78" spans="2:4" x14ac:dyDescent="0.25">
      <c r="B78" s="2"/>
      <c r="C78" s="2"/>
      <c r="D78" t="str">
        <f t="shared" si="1"/>
        <v/>
      </c>
    </row>
    <row r="79" spans="2:4" x14ac:dyDescent="0.25">
      <c r="B79" s="1" t="s">
        <v>359</v>
      </c>
      <c r="C79" s="1"/>
      <c r="D79" t="str">
        <f t="shared" si="1"/>
        <v>paymentdate</v>
      </c>
    </row>
    <row r="80" spans="2:4" x14ac:dyDescent="0.25">
      <c r="B80" s="1" t="s">
        <v>360</v>
      </c>
      <c r="C80" s="1"/>
      <c r="D80" t="str">
        <f t="shared" si="1"/>
        <v>paymentremarks</v>
      </c>
    </row>
    <row r="81" spans="2:4" x14ac:dyDescent="0.25">
      <c r="B81" s="1" t="s">
        <v>361</v>
      </c>
      <c r="C81" s="1"/>
      <c r="D81" t="str">
        <f t="shared" si="1"/>
        <v>paymentterms</v>
      </c>
    </row>
    <row r="82" spans="2:4" x14ac:dyDescent="0.25">
      <c r="B82" s="1" t="s">
        <v>362</v>
      </c>
      <c r="C82" s="1"/>
      <c r="D82" t="str">
        <f t="shared" si="1"/>
        <v>paymentinstruction</v>
      </c>
    </row>
    <row r="83" spans="2:4" x14ac:dyDescent="0.25">
      <c r="B83" s="1" t="s">
        <v>363</v>
      </c>
      <c r="C83" s="1"/>
      <c r="D83" t="str">
        <f t="shared" si="1"/>
        <v>payeename</v>
      </c>
    </row>
    <row r="84" spans="2:4" x14ac:dyDescent="0.25">
      <c r="B84" s="1" t="s">
        <v>364</v>
      </c>
      <c r="C84" s="1"/>
      <c r="D84" t="str">
        <f t="shared" si="1"/>
        <v>payeeaccountnumber</v>
      </c>
    </row>
    <row r="85" spans="2:4" x14ac:dyDescent="0.25">
      <c r="B85" s="2"/>
      <c r="C85" s="2"/>
      <c r="D85" t="str">
        <f t="shared" si="1"/>
        <v/>
      </c>
    </row>
    <row r="86" spans="2:4" x14ac:dyDescent="0.25">
      <c r="B86" s="1" t="s">
        <v>204</v>
      </c>
      <c r="C86" s="1"/>
      <c r="D86" t="str">
        <f t="shared" si="1"/>
        <v/>
      </c>
    </row>
    <row r="87" spans="2:4" x14ac:dyDescent="0.25">
      <c r="B87" s="1" t="s">
        <v>365</v>
      </c>
      <c r="C87" s="1"/>
      <c r="D87" t="str">
        <f t="shared" si="1"/>
        <v>paymentamountdue</v>
      </c>
    </row>
    <row r="88" spans="2:4" x14ac:dyDescent="0.25">
      <c r="B88" s="2"/>
      <c r="C88" s="2"/>
      <c r="D88" t="str">
        <f t="shared" si="1"/>
        <v/>
      </c>
    </row>
    <row r="89" spans="2:4" x14ac:dyDescent="0.25">
      <c r="B89" s="1" t="s">
        <v>366</v>
      </c>
      <c r="C89" s="1"/>
      <c r="D89" t="str">
        <f t="shared" si="1"/>
        <v>ifsc</v>
      </c>
    </row>
    <row r="90" spans="2:4" x14ac:dyDescent="0.25">
      <c r="B90" s="1" t="s">
        <v>367</v>
      </c>
      <c r="C90" s="1"/>
      <c r="D90" t="str">
        <f t="shared" si="1"/>
        <v>credittransfer</v>
      </c>
    </row>
    <row r="91" spans="2:4" x14ac:dyDescent="0.25">
      <c r="B91" s="1" t="s">
        <v>368</v>
      </c>
      <c r="C91" s="1"/>
      <c r="D91" t="str">
        <f t="shared" si="1"/>
        <v>directdebit</v>
      </c>
    </row>
    <row r="92" spans="2:4" x14ac:dyDescent="0.25">
      <c r="B92" s="1" t="s">
        <v>369</v>
      </c>
      <c r="C92" s="1"/>
      <c r="D92" t="str">
        <f t="shared" si="1"/>
        <v>creditdays</v>
      </c>
    </row>
    <row r="93" spans="2:4" x14ac:dyDescent="0.25">
      <c r="B93" s="1" t="s">
        <v>370</v>
      </c>
      <c r="C93" s="1"/>
      <c r="D93" t="str">
        <f t="shared" si="1"/>
        <v>creditavaileddate</v>
      </c>
    </row>
    <row r="94" spans="2:4" x14ac:dyDescent="0.25">
      <c r="B94" s="1" t="s">
        <v>371</v>
      </c>
      <c r="C94" s="1"/>
      <c r="D94" t="str">
        <f t="shared" si="1"/>
        <v>creditreversaldate</v>
      </c>
    </row>
    <row r="95" spans="2:4" x14ac:dyDescent="0.25">
      <c r="B95" s="1" t="s">
        <v>372</v>
      </c>
      <c r="C95" s="1"/>
      <c r="D95" t="str">
        <f t="shared" si="1"/>
        <v>refdocumentremarks</v>
      </c>
    </row>
    <row r="96" spans="2:4" x14ac:dyDescent="0.25">
      <c r="B96" s="1" t="s">
        <v>373</v>
      </c>
      <c r="C96" s="1"/>
      <c r="D96" t="str">
        <f t="shared" si="1"/>
        <v>refdocumentperiodstartdate</v>
      </c>
    </row>
    <row r="97" spans="2:4" x14ac:dyDescent="0.25">
      <c r="B97" s="1" t="s">
        <v>374</v>
      </c>
      <c r="C97" s="1"/>
      <c r="D97" t="str">
        <f t="shared" si="1"/>
        <v>refdocumentperiodenddate</v>
      </c>
    </row>
    <row r="98" spans="2:4" x14ac:dyDescent="0.25">
      <c r="B98" s="1" t="s">
        <v>375</v>
      </c>
      <c r="C98" s="1"/>
      <c r="D98" t="str">
        <f t="shared" si="1"/>
        <v>invno</v>
      </c>
    </row>
    <row r="99" spans="2:4" x14ac:dyDescent="0.25">
      <c r="B99" s="1" t="s">
        <v>376</v>
      </c>
      <c r="C99" s="1"/>
      <c r="D99" t="str">
        <f t="shared" si="1"/>
        <v>invdt</v>
      </c>
    </row>
    <row r="100" spans="2:4" x14ac:dyDescent="0.25">
      <c r="B100" s="1" t="s">
        <v>377</v>
      </c>
      <c r="C100" s="1"/>
      <c r="D100" t="str">
        <f t="shared" si="1"/>
        <v>refcontractdetails</v>
      </c>
    </row>
    <row r="101" spans="2:4" x14ac:dyDescent="0.25">
      <c r="B101" s="1" t="s">
        <v>378</v>
      </c>
      <c r="C101" s="1"/>
      <c r="D101" t="str">
        <f t="shared" si="1"/>
        <v>additionalsupportingdocumentde</v>
      </c>
    </row>
    <row r="102" spans="2:4" x14ac:dyDescent="0.25">
      <c r="B102" s="1" t="s">
        <v>379</v>
      </c>
      <c r="C102" s="1"/>
      <c r="D102" t="str">
        <f t="shared" si="1"/>
        <v>portcode</v>
      </c>
    </row>
    <row r="103" spans="2:4" x14ac:dyDescent="0.25">
      <c r="B103" s="1" t="s">
        <v>380</v>
      </c>
      <c r="C103" s="1"/>
      <c r="D103" t="str">
        <f t="shared" si="1"/>
        <v>documentcurrencycode</v>
      </c>
    </row>
    <row r="104" spans="2:4" x14ac:dyDescent="0.25">
      <c r="B104" s="1" t="s">
        <v>381</v>
      </c>
      <c r="C104" s="1"/>
      <c r="D104" t="str">
        <f t="shared" si="1"/>
        <v>destinationcountry</v>
      </c>
    </row>
    <row r="105" spans="2:4" x14ac:dyDescent="0.25">
      <c r="B105" s="1" t="s">
        <v>382</v>
      </c>
      <c r="C105" s="1"/>
      <c r="D105" t="str">
        <f t="shared" si="1"/>
        <v>pos</v>
      </c>
    </row>
    <row r="106" spans="2:4" x14ac:dyDescent="0.25">
      <c r="B106" s="2"/>
      <c r="C106" s="2"/>
      <c r="D106" t="str">
        <f t="shared" si="1"/>
        <v/>
      </c>
    </row>
    <row r="107" spans="2:4" x14ac:dyDescent="0.25">
      <c r="B107" s="1" t="s">
        <v>204</v>
      </c>
      <c r="C107" s="1"/>
      <c r="D107" t="str">
        <f t="shared" si="1"/>
        <v/>
      </c>
    </row>
    <row r="108" spans="2:4" x14ac:dyDescent="0.25">
      <c r="B108" s="1" t="s">
        <v>383</v>
      </c>
      <c r="C108" s="1"/>
      <c r="D108" t="str">
        <f t="shared" si="1"/>
        <v>documentvalue</v>
      </c>
    </row>
    <row r="109" spans="2:4" x14ac:dyDescent="0.25">
      <c r="B109" s="2"/>
      <c r="C109" s="2"/>
      <c r="D109" t="str">
        <f t="shared" si="1"/>
        <v/>
      </c>
    </row>
    <row r="110" spans="2:4" x14ac:dyDescent="0.25">
      <c r="B110" s="1" t="s">
        <v>384</v>
      </c>
      <c r="C110" s="1"/>
      <c r="D110" t="str">
        <f t="shared" si="1"/>
        <v>documentdiscount</v>
      </c>
    </row>
    <row r="111" spans="2:4" x14ac:dyDescent="0.25">
      <c r="B111" s="1" t="s">
        <v>385</v>
      </c>
      <c r="C111" s="1"/>
      <c r="D111" t="str">
        <f t="shared" si="1"/>
        <v>documentothercharges</v>
      </c>
    </row>
    <row r="112" spans="2:4" x14ac:dyDescent="0.25">
      <c r="B112" s="2"/>
      <c r="C112" s="2"/>
      <c r="D112" t="str">
        <f t="shared" si="1"/>
        <v/>
      </c>
    </row>
    <row r="113" spans="2:4" x14ac:dyDescent="0.25">
      <c r="B113" s="1" t="s">
        <v>204</v>
      </c>
      <c r="C113" s="1"/>
      <c r="D113" t="str">
        <f t="shared" si="1"/>
        <v/>
      </c>
    </row>
    <row r="114" spans="2:4" x14ac:dyDescent="0.25">
      <c r="B114" s="1" t="s">
        <v>386</v>
      </c>
      <c r="C114" s="1"/>
      <c r="D114" t="str">
        <f t="shared" si="1"/>
        <v>documentvalueinforeigncurrency</v>
      </c>
    </row>
    <row r="115" spans="2:4" x14ac:dyDescent="0.25">
      <c r="B115" s="2"/>
      <c r="C115" s="2"/>
      <c r="D115" t="str">
        <f t="shared" si="1"/>
        <v/>
      </c>
    </row>
    <row r="116" spans="2:4" x14ac:dyDescent="0.25">
      <c r="B116" s="1" t="s">
        <v>204</v>
      </c>
      <c r="C116" s="1"/>
      <c r="D116" t="str">
        <f t="shared" si="1"/>
        <v/>
      </c>
    </row>
    <row r="117" spans="2:4" x14ac:dyDescent="0.25">
      <c r="B117" s="1" t="s">
        <v>387</v>
      </c>
      <c r="C117" s="1"/>
      <c r="D117" t="str">
        <f t="shared" si="1"/>
        <v>roundoffamount</v>
      </c>
    </row>
    <row r="118" spans="2:4" x14ac:dyDescent="0.25">
      <c r="B118" s="2"/>
      <c r="C118" s="2"/>
      <c r="D118" t="str">
        <f t="shared" si="1"/>
        <v/>
      </c>
    </row>
    <row r="119" spans="2:4" x14ac:dyDescent="0.25">
      <c r="B119" s="1" t="s">
        <v>388</v>
      </c>
      <c r="C119" s="1"/>
      <c r="D119" t="str">
        <f t="shared" si="1"/>
        <v>differentialpercentage</v>
      </c>
    </row>
    <row r="120" spans="2:4" x14ac:dyDescent="0.25">
      <c r="B120" s="1" t="s">
        <v>389</v>
      </c>
      <c r="C120" s="1"/>
      <c r="D120" t="str">
        <f t="shared" si="1"/>
        <v>reversecharge</v>
      </c>
    </row>
    <row r="121" spans="2:4" x14ac:dyDescent="0.25">
      <c r="B121" s="1" t="s">
        <v>390</v>
      </c>
      <c r="C121" s="1"/>
      <c r="D121" t="str">
        <f t="shared" si="1"/>
        <v>claimrefund</v>
      </c>
    </row>
    <row r="122" spans="2:4" x14ac:dyDescent="0.25">
      <c r="B122" s="1" t="s">
        <v>391</v>
      </c>
      <c r="C122" s="1"/>
      <c r="D122" t="str">
        <f t="shared" si="1"/>
        <v>underigstact</v>
      </c>
    </row>
    <row r="123" spans="2:4" x14ac:dyDescent="0.25">
      <c r="B123" s="1" t="s">
        <v>392</v>
      </c>
      <c r="C123" s="1"/>
      <c r="D123" t="str">
        <f t="shared" si="1"/>
        <v>refundeligibility</v>
      </c>
    </row>
    <row r="124" spans="2:4" x14ac:dyDescent="0.25">
      <c r="B124" s="1" t="s">
        <v>393</v>
      </c>
      <c r="C124" s="1"/>
      <c r="D124" t="str">
        <f t="shared" si="1"/>
        <v>pnroruniquenumber</v>
      </c>
    </row>
    <row r="125" spans="2:4" x14ac:dyDescent="0.25">
      <c r="B125" s="1" t="s">
        <v>394</v>
      </c>
      <c r="C125" s="1"/>
      <c r="D125" t="str">
        <f t="shared" si="1"/>
        <v>availprovisionalitc</v>
      </c>
    </row>
    <row r="126" spans="2:4" x14ac:dyDescent="0.25">
      <c r="B126" s="1" t="s">
        <v>395</v>
      </c>
      <c r="C126" s="1"/>
      <c r="D126" t="str">
        <f t="shared" si="1"/>
        <v>originalstatecode</v>
      </c>
    </row>
    <row r="127" spans="2:4" x14ac:dyDescent="0.25">
      <c r="B127" s="1" t="s">
        <v>396</v>
      </c>
      <c r="C127" s="1"/>
      <c r="D127" t="str">
        <f t="shared" si="1"/>
        <v>originaldocumentnumber</v>
      </c>
    </row>
    <row r="128" spans="2:4" x14ac:dyDescent="0.25">
      <c r="B128" s="1" t="s">
        <v>397</v>
      </c>
      <c r="C128" s="1"/>
      <c r="D128" t="str">
        <f t="shared" si="1"/>
        <v>originaldocumentdate</v>
      </c>
    </row>
    <row r="129" spans="2:4" x14ac:dyDescent="0.25">
      <c r="B129" s="1" t="s">
        <v>398</v>
      </c>
      <c r="C129" s="1"/>
      <c r="D129" t="str">
        <f t="shared" si="1"/>
        <v>originalreturnperiod</v>
      </c>
    </row>
    <row r="130" spans="2:4" x14ac:dyDescent="0.25">
      <c r="B130" s="2"/>
      <c r="C130" s="2"/>
      <c r="D130" t="str">
        <f t="shared" si="1"/>
        <v/>
      </c>
    </row>
    <row r="131" spans="2:4" x14ac:dyDescent="0.25">
      <c r="B131" s="1" t="s">
        <v>204</v>
      </c>
      <c r="C131" s="1"/>
      <c r="D131" t="str">
        <f t="shared" si="1"/>
        <v/>
      </c>
    </row>
    <row r="132" spans="2:4" x14ac:dyDescent="0.25">
      <c r="B132" s="1" t="s">
        <v>399</v>
      </c>
      <c r="C132" s="1"/>
      <c r="D132" t="str">
        <f t="shared" si="1"/>
        <v>originaltaxablevalue</v>
      </c>
    </row>
    <row r="133" spans="2:4" x14ac:dyDescent="0.25">
      <c r="B133" s="2"/>
      <c r="C133" s="2"/>
      <c r="D133" t="str">
        <f t="shared" si="1"/>
        <v/>
      </c>
    </row>
    <row r="134" spans="2:4" x14ac:dyDescent="0.25">
      <c r="B134" s="1" t="s">
        <v>400</v>
      </c>
      <c r="C134" s="1"/>
      <c r="D134" t="str">
        <f t="shared" si="1"/>
        <v>toemailaddresses</v>
      </c>
    </row>
    <row r="135" spans="2:4" x14ac:dyDescent="0.25">
      <c r="B135" s="1" t="s">
        <v>401</v>
      </c>
      <c r="C135" s="1"/>
      <c r="D135" t="str">
        <f t="shared" si="1"/>
        <v>tomobilenumbers</v>
      </c>
    </row>
    <row r="136" spans="2:4" x14ac:dyDescent="0.25">
      <c r="B136" s="1" t="s">
        <v>402</v>
      </c>
      <c r="C136" s="1"/>
      <c r="D136" t="str">
        <f t="shared" si="1"/>
        <v>jworiginaldocumentnumber</v>
      </c>
    </row>
    <row r="137" spans="2:4" x14ac:dyDescent="0.25">
      <c r="B137" s="1" t="s">
        <v>403</v>
      </c>
      <c r="C137" s="1"/>
      <c r="D137" t="str">
        <f t="shared" si="1"/>
        <v>jworiginaldocumentdate</v>
      </c>
    </row>
    <row r="138" spans="2:4" x14ac:dyDescent="0.25">
      <c r="B138" s="1" t="s">
        <v>404</v>
      </c>
      <c r="C138" s="1"/>
      <c r="D138" t="str">
        <f t="shared" ref="D138:D201" si="2">IF(ISNUMBER(SEARCH("@",IFERROR(TRIM(SUBSTITUTE(MID(B138,1,FIND(":",B138)-1),"key","")),""))),"",IFERROR(TRIM(SUBSTITUTE(MID(B138,1,FIND(":",B138)-1),"key","")),""))</f>
        <v>jwdocumentnumber</v>
      </c>
    </row>
    <row r="139" spans="2:4" x14ac:dyDescent="0.25">
      <c r="B139" s="1" t="s">
        <v>405</v>
      </c>
      <c r="C139" s="1"/>
      <c r="D139" t="str">
        <f t="shared" si="2"/>
        <v>jwdocumentdate</v>
      </c>
    </row>
    <row r="140" spans="2:4" x14ac:dyDescent="0.25">
      <c r="B140" s="1" t="s">
        <v>406</v>
      </c>
      <c r="C140" s="1"/>
      <c r="D140" t="str">
        <f t="shared" si="2"/>
        <v>autodraftsource</v>
      </c>
    </row>
    <row r="141" spans="2:4" x14ac:dyDescent="0.25">
      <c r="B141" s="1" t="s">
        <v>407</v>
      </c>
      <c r="C141" s="1"/>
      <c r="D141" t="str">
        <f t="shared" si="2"/>
        <v>irngenerationdate</v>
      </c>
    </row>
    <row r="142" spans="2:4" x14ac:dyDescent="0.25">
      <c r="B142" s="1" t="s">
        <v>408</v>
      </c>
      <c r="C142" s="1"/>
      <c r="D142" t="str">
        <f t="shared" si="2"/>
        <v>isamendment</v>
      </c>
    </row>
    <row r="143" spans="2:4" x14ac:dyDescent="0.25">
      <c r="B143" s="1" t="s">
        <v>409</v>
      </c>
      <c r="C143" s="1"/>
      <c r="D143" t="str">
        <f t="shared" si="2"/>
        <v>isavailableingstr2b</v>
      </c>
    </row>
    <row r="144" spans="2:4" x14ac:dyDescent="0.25">
      <c r="B144" s="1" t="s">
        <v>410</v>
      </c>
      <c r="C144" s="1"/>
      <c r="D144" t="str">
        <f t="shared" si="2"/>
        <v>itcavailability</v>
      </c>
    </row>
    <row r="145" spans="2:4" x14ac:dyDescent="0.25">
      <c r="B145" s="1" t="s">
        <v>411</v>
      </c>
      <c r="C145" s="1"/>
      <c r="D145" t="str">
        <f t="shared" si="2"/>
        <v>itcunavailabilityreason</v>
      </c>
    </row>
    <row r="146" spans="2:4" x14ac:dyDescent="0.25">
      <c r="B146" s="1" t="s">
        <v>412</v>
      </c>
      <c r="C146" s="1"/>
      <c r="D146" t="str">
        <f t="shared" si="2"/>
        <v>custom2</v>
      </c>
    </row>
    <row r="147" spans="2:4" x14ac:dyDescent="0.25">
      <c r="B147" s="1" t="s">
        <v>413</v>
      </c>
      <c r="C147" s="1"/>
      <c r="D147" t="str">
        <f t="shared" si="2"/>
        <v>custom3</v>
      </c>
    </row>
    <row r="148" spans="2:4" x14ac:dyDescent="0.25">
      <c r="B148" s="1" t="s">
        <v>414</v>
      </c>
      <c r="C148" s="1"/>
      <c r="D148" t="str">
        <f t="shared" si="2"/>
        <v>custom5</v>
      </c>
    </row>
    <row r="149" spans="2:4" x14ac:dyDescent="0.25">
      <c r="B149" s="1" t="s">
        <v>415</v>
      </c>
      <c r="C149" s="1"/>
      <c r="D149" t="str">
        <f t="shared" si="2"/>
        <v>custom6</v>
      </c>
    </row>
    <row r="150" spans="2:4" x14ac:dyDescent="0.25">
      <c r="B150" s="1" t="s">
        <v>416</v>
      </c>
      <c r="C150" s="1"/>
      <c r="D150" t="str">
        <f t="shared" si="2"/>
        <v>custom7</v>
      </c>
    </row>
    <row r="151" spans="2:4" x14ac:dyDescent="0.25">
      <c r="B151" s="1" t="s">
        <v>417</v>
      </c>
      <c r="C151" s="1"/>
      <c r="D151" t="str">
        <f t="shared" si="2"/>
        <v>custom8</v>
      </c>
    </row>
    <row r="152" spans="2:4" x14ac:dyDescent="0.25">
      <c r="B152" s="1" t="s">
        <v>418</v>
      </c>
      <c r="C152" s="1"/>
      <c r="D152" t="str">
        <f t="shared" si="2"/>
        <v>custom10</v>
      </c>
    </row>
    <row r="153" spans="2:4" x14ac:dyDescent="0.25">
      <c r="B153" s="1" t="s">
        <v>419</v>
      </c>
      <c r="C153" s="1"/>
      <c r="D153" t="str">
        <f t="shared" si="2"/>
        <v>custom20</v>
      </c>
    </row>
    <row r="154" spans="2:4" x14ac:dyDescent="0.25">
      <c r="B154" s="1" t="s">
        <v>420</v>
      </c>
      <c r="C154" s="1"/>
      <c r="D154" t="str">
        <f t="shared" si="2"/>
        <v>natureofjwdone</v>
      </c>
    </row>
    <row r="155" spans="2:4" x14ac:dyDescent="0.25">
      <c r="B155" s="1" t="s">
        <v>421</v>
      </c>
      <c r="C155" s="1"/>
      <c r="D155" t="str">
        <f t="shared" si="2"/>
        <v>lossunitofmeasure</v>
      </c>
    </row>
    <row r="156" spans="2:4" x14ac:dyDescent="0.25">
      <c r="B156" s="2"/>
      <c r="C156" s="2"/>
      <c r="D156" t="str">
        <f t="shared" si="2"/>
        <v/>
      </c>
    </row>
    <row r="157" spans="2:4" x14ac:dyDescent="0.25">
      <c r="B157" s="1" t="s">
        <v>422</v>
      </c>
      <c r="C157" s="1"/>
      <c r="D157" t="str">
        <f t="shared" si="2"/>
        <v/>
      </c>
    </row>
    <row r="158" spans="2:4" x14ac:dyDescent="0.25">
      <c r="B158" s="1" t="s">
        <v>423</v>
      </c>
      <c r="C158" s="1"/>
      <c r="D158" t="str">
        <f t="shared" si="2"/>
        <v>losstotalquantity</v>
      </c>
    </row>
    <row r="159" spans="2:4" x14ac:dyDescent="0.25">
      <c r="B159" s="2"/>
      <c r="C159" s="2"/>
      <c r="D159" t="str">
        <f t="shared" si="2"/>
        <v/>
      </c>
    </row>
    <row r="160" spans="2:4" x14ac:dyDescent="0.25">
      <c r="B160" s="1" t="s">
        <v>424</v>
      </c>
      <c r="C160" s="1"/>
      <c r="D160" t="str">
        <f t="shared" si="2"/>
        <v>pusherrors</v>
      </c>
    </row>
    <row r="161" spans="2:4" x14ac:dyDescent="0.25">
      <c r="B161" s="1" t="s">
        <v>425</v>
      </c>
      <c r="C161" s="1"/>
      <c r="D161" t="str">
        <f t="shared" si="2"/>
        <v>pushstatus</v>
      </c>
    </row>
    <row r="162" spans="2:4" x14ac:dyDescent="0.25">
      <c r="B162" s="1" t="s">
        <v>426</v>
      </c>
      <c r="C162" s="1"/>
      <c r="D162" t="str">
        <f t="shared" si="2"/>
        <v>gstaction</v>
      </c>
    </row>
    <row r="163" spans="2:4" x14ac:dyDescent="0.25">
      <c r="B163" s="1" t="s">
        <v>427</v>
      </c>
      <c r="C163" s="1"/>
      <c r="D163" t="str">
        <f t="shared" si="2"/>
        <v>reconciliationsection</v>
      </c>
    </row>
    <row r="164" spans="2:4" x14ac:dyDescent="0.25">
      <c r="B164" s="1" t="s">
        <v>428</v>
      </c>
      <c r="C164" s="1"/>
      <c r="D164" t="str">
        <f t="shared" si="2"/>
        <v>pushdate</v>
      </c>
    </row>
    <row r="165" spans="2:4" x14ac:dyDescent="0.25">
      <c r="B165" s="1" t="s">
        <v>429</v>
      </c>
      <c r="C165" s="1"/>
      <c r="D165" t="str">
        <f t="shared" si="2"/>
        <v>cancelleddate</v>
      </c>
    </row>
    <row r="166" spans="2:4" x14ac:dyDescent="0.25">
      <c r="B166" s="1" t="s">
        <v>430</v>
      </c>
      <c r="C166" s="1"/>
      <c r="D166" t="str">
        <f t="shared" si="2"/>
        <v>ispregstregime</v>
      </c>
    </row>
    <row r="167" spans="2:4" x14ac:dyDescent="0.25">
      <c r="B167" s="1" t="s">
        <v>431</v>
      </c>
      <c r="C167" s="1"/>
      <c r="D167" t="str">
        <f t="shared" si="2"/>
        <v>amendedtype</v>
      </c>
    </row>
    <row r="168" spans="2:4" x14ac:dyDescent="0.25">
      <c r="B168" s="1" t="s">
        <v>432</v>
      </c>
      <c r="C168" s="1"/>
      <c r="D168" t="str">
        <f t="shared" si="2"/>
        <v>isgstr3bfiled</v>
      </c>
    </row>
    <row r="169" spans="2:4" x14ac:dyDescent="0.25">
      <c r="B169" s="1" t="s">
        <v>433</v>
      </c>
      <c r="C169" s="1"/>
      <c r="D169" t="str">
        <f t="shared" si="2"/>
        <v>isgstr3bfildate</v>
      </c>
    </row>
    <row r="170" spans="2:4" x14ac:dyDescent="0.25">
      <c r="B170" s="1" t="s">
        <v>434</v>
      </c>
      <c r="C170" s="1"/>
      <c r="D170" t="str">
        <f t="shared" si="2"/>
        <v>filingdate</v>
      </c>
    </row>
    <row r="171" spans="2:4" x14ac:dyDescent="0.25">
      <c r="B171" s="1" t="s">
        <v>435</v>
      </c>
      <c r="C171" s="1"/>
      <c r="D171" t="str">
        <f t="shared" si="2"/>
        <v>filingreturnperiod</v>
      </c>
    </row>
    <row r="172" spans="2:4" x14ac:dyDescent="0.25">
      <c r="B172" s="1" t="s">
        <v>436</v>
      </c>
      <c r="C172" s="1"/>
      <c r="D172" t="str">
        <f t="shared" si="2"/>
        <v>filingstatus</v>
      </c>
    </row>
    <row r="173" spans="2:4" x14ac:dyDescent="0.25">
      <c r="B173" s="1" t="s">
        <v>437</v>
      </c>
      <c r="C173" s="1"/>
      <c r="D173" t="str">
        <f t="shared" si="2"/>
        <v>isservice</v>
      </c>
    </row>
    <row r="174" spans="2:4" x14ac:dyDescent="0.25">
      <c r="B174" s="1" t="s">
        <v>438</v>
      </c>
      <c r="C174" s="1"/>
      <c r="D174" t="str">
        <f t="shared" si="2"/>
        <v>hsn</v>
      </c>
    </row>
    <row r="175" spans="2:4" x14ac:dyDescent="0.25">
      <c r="B175" s="1" t="s">
        <v>439</v>
      </c>
      <c r="C175" s="1"/>
      <c r="D175" t="str">
        <f t="shared" si="2"/>
        <v>productcode</v>
      </c>
    </row>
    <row r="176" spans="2:4" x14ac:dyDescent="0.25">
      <c r="B176" s="1" t="s">
        <v>440</v>
      </c>
      <c r="C176" s="1"/>
      <c r="D176" t="str">
        <f t="shared" si="2"/>
        <v>name</v>
      </c>
    </row>
    <row r="177" spans="2:4" x14ac:dyDescent="0.25">
      <c r="B177" s="1" t="s">
        <v>441</v>
      </c>
      <c r="C177" s="1"/>
      <c r="D177" t="str">
        <f t="shared" si="2"/>
        <v>description</v>
      </c>
    </row>
    <row r="178" spans="2:4" x14ac:dyDescent="0.25">
      <c r="B178" s="1" t="s">
        <v>442</v>
      </c>
      <c r="C178" s="1"/>
      <c r="D178" t="str">
        <f t="shared" si="2"/>
        <v>barcode</v>
      </c>
    </row>
    <row r="179" spans="2:4" x14ac:dyDescent="0.25">
      <c r="B179" s="1" t="s">
        <v>443</v>
      </c>
      <c r="C179" s="1"/>
      <c r="D179" t="str">
        <f t="shared" si="2"/>
        <v>uqc</v>
      </c>
    </row>
    <row r="180" spans="2:4" x14ac:dyDescent="0.25">
      <c r="B180" s="2"/>
      <c r="C180" s="2"/>
      <c r="D180" t="str">
        <f t="shared" si="2"/>
        <v/>
      </c>
    </row>
    <row r="181" spans="2:4" x14ac:dyDescent="0.25">
      <c r="B181" s="1" t="s">
        <v>422</v>
      </c>
      <c r="C181" s="1"/>
      <c r="D181" t="str">
        <f t="shared" si="2"/>
        <v/>
      </c>
    </row>
    <row r="182" spans="2:4" x14ac:dyDescent="0.25">
      <c r="B182" s="1" t="s">
        <v>444</v>
      </c>
      <c r="C182" s="1"/>
      <c r="D182" t="str">
        <f t="shared" si="2"/>
        <v>quantity</v>
      </c>
    </row>
    <row r="183" spans="2:4" x14ac:dyDescent="0.25">
      <c r="B183" s="2"/>
      <c r="C183" s="2"/>
      <c r="D183" t="str">
        <f t="shared" si="2"/>
        <v/>
      </c>
    </row>
    <row r="184" spans="2:4" x14ac:dyDescent="0.25">
      <c r="B184" s="1" t="s">
        <v>445</v>
      </c>
      <c r="C184" s="1"/>
      <c r="D184" t="str">
        <f t="shared" si="2"/>
        <v>freequantity</v>
      </c>
    </row>
    <row r="185" spans="2:4" x14ac:dyDescent="0.25">
      <c r="B185" s="2"/>
      <c r="C185" s="2"/>
      <c r="D185" t="str">
        <f t="shared" si="2"/>
        <v/>
      </c>
    </row>
    <row r="186" spans="2:4" x14ac:dyDescent="0.25">
      <c r="B186" s="1" t="s">
        <v>446</v>
      </c>
      <c r="C186" s="1"/>
      <c r="D186" t="str">
        <f t="shared" si="2"/>
        <v/>
      </c>
    </row>
    <row r="187" spans="2:4" x14ac:dyDescent="0.25">
      <c r="B187" s="1" t="s">
        <v>447</v>
      </c>
      <c r="C187" s="1"/>
      <c r="D187" t="str">
        <f t="shared" si="2"/>
        <v>rate</v>
      </c>
    </row>
    <row r="188" spans="2:4" x14ac:dyDescent="0.25">
      <c r="B188" s="2"/>
      <c r="C188" s="2"/>
      <c r="D188" t="str">
        <f t="shared" si="2"/>
        <v/>
      </c>
    </row>
    <row r="189" spans="2:4" x14ac:dyDescent="0.25">
      <c r="B189" s="1" t="s">
        <v>446</v>
      </c>
      <c r="C189" s="1"/>
      <c r="D189" t="str">
        <f t="shared" si="2"/>
        <v/>
      </c>
    </row>
    <row r="190" spans="2:4" x14ac:dyDescent="0.25">
      <c r="B190" s="1" t="s">
        <v>448</v>
      </c>
      <c r="C190" s="1"/>
      <c r="D190" t="str">
        <f t="shared" si="2"/>
        <v>cessrate</v>
      </c>
    </row>
    <row r="191" spans="2:4" x14ac:dyDescent="0.25">
      <c r="B191" s="2"/>
      <c r="C191" s="2"/>
      <c r="D191" t="str">
        <f t="shared" si="2"/>
        <v/>
      </c>
    </row>
    <row r="192" spans="2:4" x14ac:dyDescent="0.25">
      <c r="B192" s="1" t="s">
        <v>449</v>
      </c>
      <c r="C192" s="1"/>
      <c r="D192" t="str">
        <f t="shared" si="2"/>
        <v>statecessrate</v>
      </c>
    </row>
    <row r="193" spans="2:4" x14ac:dyDescent="0.25">
      <c r="B193" s="2"/>
      <c r="C193" s="2"/>
      <c r="D193" t="str">
        <f t="shared" si="2"/>
        <v/>
      </c>
    </row>
    <row r="194" spans="2:4" x14ac:dyDescent="0.25">
      <c r="B194" s="1" t="s">
        <v>446</v>
      </c>
      <c r="C194" s="1"/>
      <c r="D194" t="str">
        <f t="shared" si="2"/>
        <v/>
      </c>
    </row>
    <row r="195" spans="2:4" x14ac:dyDescent="0.25">
      <c r="B195" s="1" t="s">
        <v>450</v>
      </c>
      <c r="C195" s="1"/>
      <c r="D195" t="str">
        <f t="shared" si="2"/>
        <v>cessnonadvaloremrate</v>
      </c>
    </row>
    <row r="196" spans="2:4" x14ac:dyDescent="0.25">
      <c r="B196" s="2"/>
      <c r="C196" s="2"/>
      <c r="D196" t="str">
        <f t="shared" si="2"/>
        <v/>
      </c>
    </row>
    <row r="197" spans="2:4" x14ac:dyDescent="0.25">
      <c r="B197" s="1" t="s">
        <v>451</v>
      </c>
      <c r="C197" s="1"/>
      <c r="D197" t="str">
        <f t="shared" si="2"/>
        <v>priceperquantity</v>
      </c>
    </row>
    <row r="198" spans="2:4" x14ac:dyDescent="0.25">
      <c r="B198" s="2"/>
      <c r="C198" s="2"/>
      <c r="D198" t="str">
        <f t="shared" si="2"/>
        <v/>
      </c>
    </row>
    <row r="199" spans="2:4" x14ac:dyDescent="0.25">
      <c r="B199" s="1" t="s">
        <v>210</v>
      </c>
      <c r="C199" s="1"/>
      <c r="D199" t="str">
        <f t="shared" si="2"/>
        <v/>
      </c>
    </row>
    <row r="200" spans="2:4" x14ac:dyDescent="0.25">
      <c r="B200" s="1" t="s">
        <v>452</v>
      </c>
      <c r="C200" s="1"/>
      <c r="D200" t="str">
        <f t="shared" si="2"/>
        <v>discountamount</v>
      </c>
    </row>
    <row r="201" spans="2:4" x14ac:dyDescent="0.25">
      <c r="B201" s="2"/>
      <c r="C201" s="2"/>
      <c r="D201" t="str">
        <f t="shared" si="2"/>
        <v/>
      </c>
    </row>
    <row r="202" spans="2:4" x14ac:dyDescent="0.25">
      <c r="B202" s="1" t="s">
        <v>210</v>
      </c>
      <c r="C202" s="1"/>
      <c r="D202" t="str">
        <f t="shared" ref="D202:D265" si="3">IF(ISNUMBER(SEARCH("@",IFERROR(TRIM(SUBSTITUTE(MID(B202,1,FIND(":",B202)-1),"key","")),""))),"",IFERROR(TRIM(SUBSTITUTE(MID(B202,1,FIND(":",B202)-1),"key","")),""))</f>
        <v/>
      </c>
    </row>
    <row r="203" spans="2:4" x14ac:dyDescent="0.25">
      <c r="B203" s="1" t="s">
        <v>453</v>
      </c>
      <c r="C203" s="1"/>
      <c r="D203" t="str">
        <f t="shared" si="3"/>
        <v>grossamount</v>
      </c>
    </row>
    <row r="204" spans="2:4" x14ac:dyDescent="0.25">
      <c r="B204" s="2"/>
      <c r="C204" s="2"/>
      <c r="D204" t="str">
        <f t="shared" si="3"/>
        <v/>
      </c>
    </row>
    <row r="205" spans="2:4" x14ac:dyDescent="0.25">
      <c r="B205" s="1" t="s">
        <v>454</v>
      </c>
      <c r="C205" s="1"/>
      <c r="D205" t="str">
        <f t="shared" si="3"/>
        <v>othercharges</v>
      </c>
    </row>
    <row r="206" spans="2:4" x14ac:dyDescent="0.25">
      <c r="B206" s="2"/>
      <c r="C206" s="2"/>
      <c r="D206" t="str">
        <f t="shared" si="3"/>
        <v/>
      </c>
    </row>
    <row r="207" spans="2:4" x14ac:dyDescent="0.25">
      <c r="B207" s="1" t="s">
        <v>204</v>
      </c>
      <c r="C207" s="1"/>
      <c r="D207" t="str">
        <f t="shared" si="3"/>
        <v/>
      </c>
    </row>
    <row r="208" spans="2:4" x14ac:dyDescent="0.25">
      <c r="B208" s="1" t="s">
        <v>455</v>
      </c>
      <c r="C208" s="1"/>
      <c r="D208" t="str">
        <f t="shared" si="3"/>
        <v>taxablevalue</v>
      </c>
    </row>
    <row r="209" spans="2:4" x14ac:dyDescent="0.25">
      <c r="B209" s="2"/>
      <c r="C209" s="2"/>
      <c r="D209" t="str">
        <f t="shared" si="3"/>
        <v/>
      </c>
    </row>
    <row r="210" spans="2:4" x14ac:dyDescent="0.25">
      <c r="B210" s="1" t="s">
        <v>210</v>
      </c>
      <c r="C210" s="1"/>
      <c r="D210" t="str">
        <f t="shared" si="3"/>
        <v/>
      </c>
    </row>
    <row r="211" spans="2:4" x14ac:dyDescent="0.25">
      <c r="B211" s="1" t="s">
        <v>456</v>
      </c>
      <c r="C211" s="1"/>
      <c r="D211" t="str">
        <f t="shared" si="3"/>
        <v>igstamount</v>
      </c>
    </row>
    <row r="212" spans="2:4" x14ac:dyDescent="0.25">
      <c r="B212" s="2"/>
      <c r="C212" s="2"/>
      <c r="D212" t="str">
        <f t="shared" si="3"/>
        <v/>
      </c>
    </row>
    <row r="213" spans="2:4" x14ac:dyDescent="0.25">
      <c r="B213" s="1" t="s">
        <v>210</v>
      </c>
      <c r="C213" s="1"/>
      <c r="D213" t="str">
        <f t="shared" si="3"/>
        <v/>
      </c>
    </row>
    <row r="214" spans="2:4" x14ac:dyDescent="0.25">
      <c r="B214" s="1" t="s">
        <v>457</v>
      </c>
      <c r="C214" s="1"/>
      <c r="D214" t="str">
        <f t="shared" si="3"/>
        <v>cgstamount</v>
      </c>
    </row>
    <row r="215" spans="2:4" x14ac:dyDescent="0.25">
      <c r="B215" s="2"/>
      <c r="C215" s="2"/>
      <c r="D215" t="str">
        <f t="shared" si="3"/>
        <v/>
      </c>
    </row>
    <row r="216" spans="2:4" x14ac:dyDescent="0.25">
      <c r="B216" s="1" t="s">
        <v>210</v>
      </c>
      <c r="C216" s="1"/>
      <c r="D216" t="str">
        <f t="shared" si="3"/>
        <v/>
      </c>
    </row>
    <row r="217" spans="2:4" x14ac:dyDescent="0.25">
      <c r="B217" s="1" t="s">
        <v>458</v>
      </c>
      <c r="C217" s="1"/>
      <c r="D217" t="str">
        <f t="shared" si="3"/>
        <v>sgstamount</v>
      </c>
    </row>
    <row r="218" spans="2:4" x14ac:dyDescent="0.25">
      <c r="B218" s="2"/>
      <c r="C218" s="2"/>
      <c r="D218" t="str">
        <f t="shared" si="3"/>
        <v/>
      </c>
    </row>
    <row r="219" spans="2:4" x14ac:dyDescent="0.25">
      <c r="B219" s="1" t="s">
        <v>210</v>
      </c>
      <c r="C219" s="1"/>
      <c r="D219" t="str">
        <f t="shared" si="3"/>
        <v/>
      </c>
    </row>
    <row r="220" spans="2:4" x14ac:dyDescent="0.25">
      <c r="B220" s="1" t="s">
        <v>459</v>
      </c>
      <c r="C220" s="1"/>
      <c r="D220" t="str">
        <f t="shared" si="3"/>
        <v>cessamount</v>
      </c>
    </row>
    <row r="221" spans="2:4" x14ac:dyDescent="0.25">
      <c r="B221" s="2"/>
      <c r="C221" s="2"/>
      <c r="D221" t="str">
        <f t="shared" si="3"/>
        <v/>
      </c>
    </row>
    <row r="222" spans="2:4" x14ac:dyDescent="0.25">
      <c r="B222" s="1" t="s">
        <v>210</v>
      </c>
      <c r="C222" s="1"/>
      <c r="D222" t="str">
        <f t="shared" si="3"/>
        <v/>
      </c>
    </row>
    <row r="223" spans="2:4" x14ac:dyDescent="0.25">
      <c r="B223" s="1" t="s">
        <v>460</v>
      </c>
      <c r="C223" s="1"/>
      <c r="D223" t="str">
        <f t="shared" si="3"/>
        <v>statecessamount</v>
      </c>
    </row>
    <row r="224" spans="2:4" x14ac:dyDescent="0.25">
      <c r="B224" s="2"/>
      <c r="C224" s="2"/>
      <c r="D224" t="str">
        <f t="shared" si="3"/>
        <v/>
      </c>
    </row>
    <row r="225" spans="2:4" x14ac:dyDescent="0.25">
      <c r="B225" s="1" t="s">
        <v>210</v>
      </c>
      <c r="C225" s="1"/>
      <c r="D225" t="str">
        <f t="shared" si="3"/>
        <v/>
      </c>
    </row>
    <row r="226" spans="2:4" x14ac:dyDescent="0.25">
      <c r="B226" s="1" t="s">
        <v>461</v>
      </c>
      <c r="C226" s="1"/>
      <c r="D226" t="str">
        <f t="shared" si="3"/>
        <v>cessnonadvaloremamount</v>
      </c>
    </row>
    <row r="227" spans="2:4" x14ac:dyDescent="0.25">
      <c r="B227" s="2"/>
      <c r="C227" s="2"/>
      <c r="D227" t="str">
        <f t="shared" si="3"/>
        <v/>
      </c>
    </row>
    <row r="228" spans="2:4" x14ac:dyDescent="0.25">
      <c r="B228" s="1" t="s">
        <v>462</v>
      </c>
      <c r="C228" s="1"/>
      <c r="D228" t="str">
        <f t="shared" si="3"/>
        <v>statecessnonadvaloremamount</v>
      </c>
    </row>
    <row r="229" spans="2:4" x14ac:dyDescent="0.25">
      <c r="B229" s="1" t="s">
        <v>463</v>
      </c>
      <c r="C229" s="1"/>
      <c r="D229" t="str">
        <f t="shared" si="3"/>
        <v>taxtype</v>
      </c>
    </row>
    <row r="230" spans="2:4" x14ac:dyDescent="0.25">
      <c r="B230" s="1" t="s">
        <v>464</v>
      </c>
      <c r="C230" s="1"/>
      <c r="D230" t="str">
        <f t="shared" si="3"/>
        <v>itceligibility</v>
      </c>
    </row>
    <row r="231" spans="2:4" x14ac:dyDescent="0.25">
      <c r="B231" s="2"/>
      <c r="C231" s="2"/>
      <c r="D231" t="str">
        <f t="shared" si="3"/>
        <v/>
      </c>
    </row>
    <row r="232" spans="2:4" x14ac:dyDescent="0.25">
      <c r="B232" s="1" t="s">
        <v>210</v>
      </c>
      <c r="C232" s="1"/>
      <c r="D232" t="str">
        <f t="shared" si="3"/>
        <v/>
      </c>
    </row>
    <row r="233" spans="2:4" x14ac:dyDescent="0.25">
      <c r="B233" s="1" t="s">
        <v>465</v>
      </c>
      <c r="C233" s="1"/>
      <c r="D233" t="str">
        <f t="shared" si="3"/>
        <v>itcigstamount</v>
      </c>
    </row>
    <row r="234" spans="2:4" x14ac:dyDescent="0.25">
      <c r="B234" s="2"/>
      <c r="C234" s="2"/>
      <c r="D234" t="str">
        <f t="shared" si="3"/>
        <v/>
      </c>
    </row>
    <row r="235" spans="2:4" x14ac:dyDescent="0.25">
      <c r="B235" s="1" t="s">
        <v>210</v>
      </c>
      <c r="C235" s="1"/>
      <c r="D235" t="str">
        <f t="shared" si="3"/>
        <v/>
      </c>
    </row>
    <row r="236" spans="2:4" x14ac:dyDescent="0.25">
      <c r="B236" s="1" t="s">
        <v>466</v>
      </c>
      <c r="C236" s="1"/>
      <c r="D236" t="str">
        <f t="shared" si="3"/>
        <v>itccgstamount</v>
      </c>
    </row>
    <row r="237" spans="2:4" x14ac:dyDescent="0.25">
      <c r="B237" s="2"/>
      <c r="C237" s="2"/>
      <c r="D237" t="str">
        <f t="shared" si="3"/>
        <v/>
      </c>
    </row>
    <row r="238" spans="2:4" x14ac:dyDescent="0.25">
      <c r="B238" s="1" t="s">
        <v>210</v>
      </c>
      <c r="C238" s="1"/>
      <c r="D238" t="str">
        <f t="shared" si="3"/>
        <v/>
      </c>
    </row>
    <row r="239" spans="2:4" x14ac:dyDescent="0.25">
      <c r="B239" s="1" t="s">
        <v>467</v>
      </c>
      <c r="C239" s="1"/>
      <c r="D239" t="str">
        <f t="shared" si="3"/>
        <v>itcsgstamount</v>
      </c>
    </row>
    <row r="240" spans="2:4" x14ac:dyDescent="0.25">
      <c r="B240" s="2"/>
      <c r="C240" s="2"/>
      <c r="D240" t="str">
        <f t="shared" si="3"/>
        <v/>
      </c>
    </row>
    <row r="241" spans="2:4" x14ac:dyDescent="0.25">
      <c r="B241" s="1" t="s">
        <v>210</v>
      </c>
      <c r="C241" s="1"/>
      <c r="D241" t="str">
        <f t="shared" si="3"/>
        <v/>
      </c>
    </row>
    <row r="242" spans="2:4" x14ac:dyDescent="0.25">
      <c r="B242" s="1" t="s">
        <v>468</v>
      </c>
      <c r="C242" s="1"/>
      <c r="D242" t="str">
        <f t="shared" si="3"/>
        <v>itccessamount</v>
      </c>
    </row>
    <row r="243" spans="2:4" x14ac:dyDescent="0.25">
      <c r="B243" s="2"/>
      <c r="C243" s="2"/>
      <c r="D243" t="str">
        <f t="shared" si="3"/>
        <v/>
      </c>
    </row>
    <row r="244" spans="2:4" x14ac:dyDescent="0.25">
      <c r="B244" s="1" t="s">
        <v>469</v>
      </c>
      <c r="C244" s="1"/>
      <c r="D244" t="str">
        <f t="shared" si="3"/>
        <v>customitem1</v>
      </c>
    </row>
    <row r="245" spans="2:4" x14ac:dyDescent="0.25">
      <c r="B245" s="1" t="s">
        <v>470</v>
      </c>
      <c r="C245" s="1"/>
      <c r="D245" t="str">
        <f t="shared" si="3"/>
        <v>customitem2</v>
      </c>
    </row>
    <row r="246" spans="2:4" x14ac:dyDescent="0.25">
      <c r="B246" s="1" t="s">
        <v>471</v>
      </c>
      <c r="C246" s="1"/>
      <c r="D246" t="str">
        <f t="shared" si="3"/>
        <v>customitem3</v>
      </c>
    </row>
    <row r="247" spans="2:4" x14ac:dyDescent="0.25">
      <c r="B247" s="1" t="s">
        <v>472</v>
      </c>
      <c r="C247" s="1"/>
      <c r="D247" t="str">
        <f t="shared" si="3"/>
        <v>customitem4</v>
      </c>
    </row>
    <row r="248" spans="2:4" x14ac:dyDescent="0.25">
      <c r="B248" s="1" t="s">
        <v>473</v>
      </c>
      <c r="C248" s="1"/>
      <c r="D248" t="str">
        <f t="shared" si="3"/>
        <v>customitem5</v>
      </c>
    </row>
    <row r="249" spans="2:4" x14ac:dyDescent="0.25">
      <c r="B249" s="1" t="s">
        <v>474</v>
      </c>
      <c r="C249" s="1"/>
      <c r="D249" t="str">
        <f t="shared" si="3"/>
        <v>customitem6</v>
      </c>
    </row>
    <row r="250" spans="2:4" x14ac:dyDescent="0.25">
      <c r="B250" s="1" t="s">
        <v>475</v>
      </c>
      <c r="C250" s="1"/>
      <c r="D250" t="str">
        <f t="shared" si="3"/>
        <v>customitem7</v>
      </c>
    </row>
    <row r="251" spans="2:4" x14ac:dyDescent="0.25">
      <c r="B251" s="1" t="s">
        <v>476</v>
      </c>
      <c r="C251" s="1"/>
      <c r="D251" t="str">
        <f t="shared" si="3"/>
        <v>customitem8</v>
      </c>
    </row>
    <row r="252" spans="2:4" x14ac:dyDescent="0.25">
      <c r="B252" s="1" t="s">
        <v>477</v>
      </c>
      <c r="C252" s="1"/>
      <c r="D252" t="str">
        <f t="shared" si="3"/>
        <v>customitem9</v>
      </c>
    </row>
    <row r="253" spans="2:4" x14ac:dyDescent="0.25">
      <c r="B253" s="1" t="s">
        <v>478</v>
      </c>
      <c r="C253" s="1"/>
      <c r="D253" t="str">
        <f t="shared" si="3"/>
        <v>customitem10</v>
      </c>
    </row>
    <row r="254" spans="2:4" x14ac:dyDescent="0.25">
      <c r="B254" s="2"/>
      <c r="C254" s="2"/>
      <c r="D254" t="str">
        <f t="shared" si="3"/>
        <v/>
      </c>
    </row>
    <row r="255" spans="2:4" x14ac:dyDescent="0.25">
      <c r="B255" s="1" t="s">
        <v>479</v>
      </c>
      <c r="C255" s="1"/>
      <c r="D255" t="str">
        <f t="shared" si="3"/>
        <v>cpgstin</v>
      </c>
    </row>
    <row r="256" spans="2:4" x14ac:dyDescent="0.25">
      <c r="B256" s="1" t="s">
        <v>480</v>
      </c>
      <c r="C256" s="1"/>
      <c r="D256" t="str">
        <f t="shared" si="3"/>
        <v>cptradename</v>
      </c>
    </row>
    <row r="257" spans="2:4" x14ac:dyDescent="0.25">
      <c r="B257" s="1" t="s">
        <v>481</v>
      </c>
      <c r="C257" s="1"/>
      <c r="D257" t="str">
        <f t="shared" si="3"/>
        <v>cplegalname</v>
      </c>
    </row>
    <row r="258" spans="2:4" x14ac:dyDescent="0.25">
      <c r="B258" s="1" t="s">
        <v>482</v>
      </c>
      <c r="C258" s="1"/>
      <c r="D258" t="str">
        <f t="shared" si="3"/>
        <v>cporiginaldocumentnumber</v>
      </c>
    </row>
    <row r="259" spans="2:4" x14ac:dyDescent="0.25">
      <c r="B259" s="1" t="s">
        <v>483</v>
      </c>
      <c r="C259" s="1"/>
      <c r="D259" t="str">
        <f t="shared" si="3"/>
        <v>cporiginaldocumentdate</v>
      </c>
    </row>
    <row r="260" spans="2:4" x14ac:dyDescent="0.25">
      <c r="B260" s="1" t="s">
        <v>484</v>
      </c>
      <c r="C260" s="1"/>
      <c r="D260" t="str">
        <f t="shared" si="3"/>
        <v>cpportcode</v>
      </c>
    </row>
    <row r="261" spans="2:4" x14ac:dyDescent="0.25">
      <c r="B261" s="1" t="s">
        <v>485</v>
      </c>
      <c r="C261" s="1"/>
      <c r="D261" t="str">
        <f t="shared" si="3"/>
        <v>cpdocumentnumber</v>
      </c>
    </row>
    <row r="262" spans="2:4" x14ac:dyDescent="0.25">
      <c r="B262" s="1" t="s">
        <v>486</v>
      </c>
      <c r="C262" s="1"/>
      <c r="D262" t="str">
        <f t="shared" si="3"/>
        <v>cpdocumentdate</v>
      </c>
    </row>
    <row r="263" spans="2:4" x14ac:dyDescent="0.25">
      <c r="B263" s="1" t="s">
        <v>487</v>
      </c>
      <c r="C263" s="1"/>
      <c r="D263" t="str">
        <f t="shared" si="3"/>
        <v>cpvalue</v>
      </c>
    </row>
    <row r="264" spans="2:4" x14ac:dyDescent="0.25">
      <c r="B264" s="1" t="s">
        <v>488</v>
      </c>
      <c r="C264" s="1"/>
      <c r="D264" t="str">
        <f t="shared" si="3"/>
        <v>cppos</v>
      </c>
    </row>
    <row r="265" spans="2:4" x14ac:dyDescent="0.25">
      <c r="B265" s="1" t="s">
        <v>489</v>
      </c>
      <c r="C265" s="1"/>
      <c r="D265" t="str">
        <f t="shared" si="3"/>
        <v>cpreversecharge</v>
      </c>
    </row>
    <row r="266" spans="2:4" x14ac:dyDescent="0.25">
      <c r="B266" s="1" t="s">
        <v>490</v>
      </c>
      <c r="C266" s="1"/>
      <c r="D266" t="str">
        <f t="shared" ref="D266:D329" si="4">IF(ISNUMBER(SEARCH("@",IFERROR(TRIM(SUBSTITUTE(MID(B266,1,FIND(":",B266)-1),"key","")),""))),"",IFERROR(TRIM(SUBSTITUTE(MID(B266,1,FIND(":",B266)-1),"key","")),""))</f>
        <v>cpdifferentialpercentage</v>
      </c>
    </row>
    <row r="267" spans="2:4" x14ac:dyDescent="0.25">
      <c r="B267" s="1" t="s">
        <v>491</v>
      </c>
      <c r="C267" s="1"/>
      <c r="D267" t="str">
        <f t="shared" si="4"/>
        <v>cptransactiontype</v>
      </c>
    </row>
    <row r="268" spans="2:4" x14ac:dyDescent="0.25">
      <c r="B268" s="1" t="s">
        <v>492</v>
      </c>
      <c r="C268" s="1"/>
      <c r="D268" t="str">
        <f t="shared" si="4"/>
        <v>cptaxpayertype</v>
      </c>
    </row>
    <row r="269" spans="2:4" x14ac:dyDescent="0.25">
      <c r="B269" s="1" t="s">
        <v>493</v>
      </c>
      <c r="C269" s="1"/>
      <c r="D269" t="str">
        <f t="shared" si="4"/>
        <v>cptaxablevalue</v>
      </c>
    </row>
    <row r="270" spans="2:4" x14ac:dyDescent="0.25">
      <c r="B270" s="1" t="s">
        <v>494</v>
      </c>
      <c r="C270" s="1"/>
      <c r="D270" t="str">
        <f t="shared" si="4"/>
        <v>cprate</v>
      </c>
    </row>
    <row r="271" spans="2:4" x14ac:dyDescent="0.25">
      <c r="B271" s="1" t="s">
        <v>495</v>
      </c>
      <c r="C271" s="1"/>
      <c r="D271" t="str">
        <f t="shared" si="4"/>
        <v>cpigstamount</v>
      </c>
    </row>
    <row r="272" spans="2:4" x14ac:dyDescent="0.25">
      <c r="B272" s="1" t="s">
        <v>496</v>
      </c>
      <c r="C272" s="1"/>
      <c r="D272" t="str">
        <f t="shared" si="4"/>
        <v>cpcgstamount</v>
      </c>
    </row>
    <row r="273" spans="2:4" x14ac:dyDescent="0.25">
      <c r="B273" s="1" t="s">
        <v>497</v>
      </c>
      <c r="C273" s="1"/>
      <c r="D273" t="str">
        <f t="shared" si="4"/>
        <v>cpsgstamount</v>
      </c>
    </row>
    <row r="274" spans="2:4" x14ac:dyDescent="0.25">
      <c r="B274" s="1" t="s">
        <v>498</v>
      </c>
      <c r="C274" s="1"/>
      <c r="D274" t="str">
        <f t="shared" si="4"/>
        <v>cpcessamount</v>
      </c>
    </row>
    <row r="275" spans="2:4" x14ac:dyDescent="0.25">
      <c r="B275" s="1" t="s">
        <v>499</v>
      </c>
      <c r="C275" s="1"/>
      <c r="D275" t="str">
        <f t="shared" si="4"/>
        <v>cpfilingstatus</v>
      </c>
    </row>
    <row r="276" spans="2:4" x14ac:dyDescent="0.25">
      <c r="B276" s="1" t="s">
        <v>500</v>
      </c>
      <c r="C276" s="1"/>
      <c r="D276" t="str">
        <f t="shared" si="4"/>
        <v>cpsuppliercancellationdate</v>
      </c>
    </row>
    <row r="277" spans="2:4" x14ac:dyDescent="0.25">
      <c r="B277" s="1" t="s">
        <v>501</v>
      </c>
      <c r="C277" s="1"/>
      <c r="D277" t="str">
        <f t="shared" si="4"/>
        <v>cpfilingdate</v>
      </c>
    </row>
    <row r="278" spans="2:4" x14ac:dyDescent="0.25">
      <c r="B278" s="1" t="s">
        <v>502</v>
      </c>
      <c r="C278" s="1"/>
      <c r="D278" t="str">
        <f t="shared" si="4"/>
        <v>cpfilingreturnperiod</v>
      </c>
    </row>
    <row r="279" spans="2:4" x14ac:dyDescent="0.25">
      <c r="B279" s="1" t="s">
        <v>503</v>
      </c>
      <c r="C279" s="1"/>
      <c r="D279" t="str">
        <f t="shared" si="4"/>
        <v>cpautodraftsource</v>
      </c>
    </row>
    <row r="280" spans="2:4" x14ac:dyDescent="0.25">
      <c r="B280" s="1" t="s">
        <v>504</v>
      </c>
      <c r="C280" s="1"/>
      <c r="D280" t="str">
        <f t="shared" si="4"/>
        <v>cpirn</v>
      </c>
    </row>
    <row r="281" spans="2:4" x14ac:dyDescent="0.25">
      <c r="B281" s="1" t="s">
        <v>505</v>
      </c>
      <c r="C281" s="1"/>
      <c r="D281" t="str">
        <f t="shared" si="4"/>
        <v>cpirngenerationdate</v>
      </c>
    </row>
    <row r="282" spans="2:4" x14ac:dyDescent="0.25">
      <c r="B282" s="1" t="s">
        <v>506</v>
      </c>
      <c r="C282" s="1"/>
      <c r="D282" t="str">
        <f t="shared" si="4"/>
        <v>cprefprecedingdocumentdetails</v>
      </c>
    </row>
    <row r="283" spans="2:4" x14ac:dyDescent="0.25">
      <c r="B283" s="1" t="s">
        <v>507</v>
      </c>
      <c r="C283" s="1"/>
      <c r="D283" t="str">
        <f t="shared" si="4"/>
        <v>cpavailableingstr2b</v>
      </c>
    </row>
    <row r="284" spans="2:4" x14ac:dyDescent="0.25">
      <c r="B284" s="1" t="s">
        <v>508</v>
      </c>
      <c r="C284" s="1"/>
      <c r="D284" t="str">
        <f t="shared" si="4"/>
        <v>cpgstr2breturnperiod</v>
      </c>
    </row>
    <row r="285" spans="2:4" x14ac:dyDescent="0.25">
      <c r="B285" s="1" t="s">
        <v>509</v>
      </c>
      <c r="C285" s="1"/>
      <c r="D285" t="str">
        <f t="shared" si="4"/>
        <v>cpavailableingstr98a</v>
      </c>
    </row>
    <row r="286" spans="2:4" x14ac:dyDescent="0.25">
      <c r="B286" s="1" t="s">
        <v>510</v>
      </c>
      <c r="C286" s="1"/>
      <c r="D286" t="str">
        <f t="shared" si="4"/>
        <v>cpitcavailability</v>
      </c>
    </row>
    <row r="287" spans="2:4" x14ac:dyDescent="0.25">
      <c r="B287" s="1" t="s">
        <v>511</v>
      </c>
      <c r="C287" s="1"/>
      <c r="D287" t="str">
        <f t="shared" si="4"/>
        <v>cpitcunavailabilityreason</v>
      </c>
    </row>
    <row r="288" spans="2:4" x14ac:dyDescent="0.25">
      <c r="B288" s="1" t="s">
        <v>512</v>
      </c>
      <c r="C288" s="1"/>
      <c r="D288" t="str">
        <f t="shared" si="4"/>
        <v>cpitcclaimmonth</v>
      </c>
    </row>
    <row r="289" spans="2:4" x14ac:dyDescent="0.25">
      <c r="B289" s="1" t="s">
        <v>513</v>
      </c>
      <c r="C289" s="1"/>
      <c r="D289" t="str">
        <f t="shared" si="4"/>
        <v>cpreturnperiod</v>
      </c>
    </row>
    <row r="290" spans="2:4" x14ac:dyDescent="0.25">
      <c r="B290" s="1" t="s">
        <v>514</v>
      </c>
      <c r="C290" s="1"/>
      <c r="D290" t="str">
        <f t="shared" si="4"/>
        <v>cpisamendment</v>
      </c>
    </row>
    <row r="291" spans="2:4" x14ac:dyDescent="0.25">
      <c r="B291" s="1" t="s">
        <v>515</v>
      </c>
      <c r="C291" s="1"/>
      <c r="D291" t="str">
        <f t="shared" si="4"/>
        <v>cporiginalreturnperiod</v>
      </c>
    </row>
    <row r="292" spans="2:4" x14ac:dyDescent="0.25">
      <c r="B292" s="1" t="s">
        <v>516</v>
      </c>
      <c r="C292" s="1"/>
      <c r="D292" t="str">
        <f t="shared" si="4"/>
        <v>cpamendedtype</v>
      </c>
    </row>
    <row r="293" spans="2:4" x14ac:dyDescent="0.25">
      <c r="B293" s="2"/>
      <c r="C293" s="2"/>
      <c r="D293" t="str">
        <f t="shared" si="4"/>
        <v/>
      </c>
    </row>
    <row r="294" spans="2:4" x14ac:dyDescent="0.25">
      <c r="B294" s="1" t="s">
        <v>204</v>
      </c>
      <c r="C294" s="1"/>
      <c r="D294" t="str">
        <f t="shared" si="4"/>
        <v/>
      </c>
    </row>
    <row r="295" spans="2:4" x14ac:dyDescent="0.25">
      <c r="B295" s="1" t="s">
        <v>517</v>
      </c>
      <c r="C295" s="1"/>
      <c r="D295" t="str">
        <f t="shared" si="4"/>
        <v>valuediff</v>
      </c>
    </row>
    <row r="296" spans="2:4" x14ac:dyDescent="0.25">
      <c r="B296" s="2"/>
      <c r="C296" s="2"/>
      <c r="D296" t="str">
        <f t="shared" si="4"/>
        <v/>
      </c>
    </row>
    <row r="297" spans="2:4" x14ac:dyDescent="0.25">
      <c r="B297" s="1" t="s">
        <v>204</v>
      </c>
      <c r="C297" s="1"/>
      <c r="D297" t="str">
        <f t="shared" si="4"/>
        <v/>
      </c>
    </row>
    <row r="298" spans="2:4" x14ac:dyDescent="0.25">
      <c r="B298" s="1" t="s">
        <v>518</v>
      </c>
      <c r="C298" s="1"/>
      <c r="D298" t="str">
        <f t="shared" si="4"/>
        <v>taxablediff</v>
      </c>
    </row>
    <row r="299" spans="2:4" x14ac:dyDescent="0.25">
      <c r="B299" s="2"/>
      <c r="C299" s="2"/>
      <c r="D299" t="str">
        <f t="shared" si="4"/>
        <v/>
      </c>
    </row>
    <row r="300" spans="2:4" x14ac:dyDescent="0.25">
      <c r="B300" s="1" t="s">
        <v>204</v>
      </c>
      <c r="C300" s="1"/>
      <c r="D300" t="str">
        <f t="shared" si="4"/>
        <v/>
      </c>
    </row>
    <row r="301" spans="2:4" x14ac:dyDescent="0.25">
      <c r="B301" s="1" t="s">
        <v>519</v>
      </c>
      <c r="C301" s="1"/>
      <c r="D301" t="str">
        <f t="shared" si="4"/>
        <v>taxdiff</v>
      </c>
    </row>
    <row r="302" spans="2:4" x14ac:dyDescent="0.25">
      <c r="B302" s="2"/>
      <c r="C302" s="2"/>
      <c r="D302" t="str">
        <f t="shared" si="4"/>
        <v/>
      </c>
    </row>
    <row r="303" spans="2:4" x14ac:dyDescent="0.25">
      <c r="B303" s="1" t="s">
        <v>520</v>
      </c>
      <c r="C303" s="1"/>
      <c r="D303" t="str">
        <f t="shared" si="4"/>
        <v>reason</v>
      </c>
    </row>
    <row r="304" spans="2:4" x14ac:dyDescent="0.25">
      <c r="B304" s="1" t="s">
        <v>521</v>
      </c>
      <c r="C304" s="1"/>
      <c r="D304" t="str">
        <f t="shared" si="4"/>
        <v>rec_date</v>
      </c>
    </row>
    <row r="305" spans="2:4" x14ac:dyDescent="0.25">
      <c r="B305" s="1" t="s">
        <v>522</v>
      </c>
      <c r="C305" s="1"/>
      <c r="D305" t="str">
        <f t="shared" si="4"/>
        <v>rec_time</v>
      </c>
    </row>
    <row r="306" spans="2:4" x14ac:dyDescent="0.25">
      <c r="B306" s="1" t="s">
        <v>6</v>
      </c>
      <c r="C306" s="1"/>
      <c r="D306" t="str">
        <f t="shared" si="4"/>
        <v/>
      </c>
    </row>
    <row r="307" spans="2:4" x14ac:dyDescent="0.25">
      <c r="D307" t="str">
        <f t="shared" si="4"/>
        <v/>
      </c>
    </row>
    <row r="308" spans="2:4" x14ac:dyDescent="0.25">
      <c r="B308" t="s">
        <v>10</v>
      </c>
      <c r="D308" t="str">
        <f t="shared" si="4"/>
        <v>filingreturnperiod</v>
      </c>
    </row>
    <row r="309" spans="2:4" x14ac:dyDescent="0.25">
      <c r="D309" t="str">
        <f t="shared" si="4"/>
        <v/>
      </c>
    </row>
    <row r="310" spans="2:4" x14ac:dyDescent="0.25">
      <c r="B310" t="s">
        <v>11</v>
      </c>
      <c r="D310" t="str">
        <f t="shared" si="4"/>
        <v>filingstatus</v>
      </c>
    </row>
    <row r="311" spans="2:4" x14ac:dyDescent="0.25">
      <c r="D311" t="str">
        <f t="shared" si="4"/>
        <v/>
      </c>
    </row>
    <row r="312" spans="2:4" x14ac:dyDescent="0.25">
      <c r="B312" t="s">
        <v>12</v>
      </c>
      <c r="D312" t="str">
        <f t="shared" si="4"/>
        <v>isservice</v>
      </c>
    </row>
    <row r="313" spans="2:4" x14ac:dyDescent="0.25">
      <c r="D313" t="str">
        <f t="shared" si="4"/>
        <v/>
      </c>
    </row>
    <row r="314" spans="2:4" x14ac:dyDescent="0.25">
      <c r="B314" t="s">
        <v>13</v>
      </c>
      <c r="D314" t="str">
        <f t="shared" si="4"/>
        <v>hsn</v>
      </c>
    </row>
    <row r="315" spans="2:4" x14ac:dyDescent="0.25">
      <c r="D315" t="str">
        <f t="shared" si="4"/>
        <v/>
      </c>
    </row>
    <row r="316" spans="2:4" x14ac:dyDescent="0.25">
      <c r="B316" t="s">
        <v>14</v>
      </c>
      <c r="D316" t="str">
        <f t="shared" si="4"/>
        <v>productcode</v>
      </c>
    </row>
    <row r="317" spans="2:4" x14ac:dyDescent="0.25">
      <c r="D317" t="str">
        <f t="shared" si="4"/>
        <v/>
      </c>
    </row>
    <row r="318" spans="2:4" x14ac:dyDescent="0.25">
      <c r="B318" t="s">
        <v>15</v>
      </c>
      <c r="D318" t="str">
        <f t="shared" si="4"/>
        <v>name</v>
      </c>
    </row>
    <row r="319" spans="2:4" x14ac:dyDescent="0.25">
      <c r="D319" t="str">
        <f t="shared" si="4"/>
        <v/>
      </c>
    </row>
    <row r="320" spans="2:4" x14ac:dyDescent="0.25">
      <c r="B320" t="s">
        <v>16</v>
      </c>
      <c r="D320" t="str">
        <f t="shared" si="4"/>
        <v>description</v>
      </c>
    </row>
    <row r="321" spans="2:4" x14ac:dyDescent="0.25">
      <c r="D321" t="str">
        <f t="shared" si="4"/>
        <v/>
      </c>
    </row>
    <row r="322" spans="2:4" x14ac:dyDescent="0.25">
      <c r="B322" t="s">
        <v>17</v>
      </c>
      <c r="D322" t="str">
        <f t="shared" si="4"/>
        <v>barcode</v>
      </c>
    </row>
    <row r="323" spans="2:4" x14ac:dyDescent="0.25">
      <c r="D323" t="str">
        <f t="shared" si="4"/>
        <v/>
      </c>
    </row>
    <row r="324" spans="2:4" x14ac:dyDescent="0.25">
      <c r="B324" t="s">
        <v>18</v>
      </c>
      <c r="D324" t="str">
        <f t="shared" si="4"/>
        <v>uqc</v>
      </c>
    </row>
    <row r="325" spans="2:4" x14ac:dyDescent="0.25">
      <c r="D325" t="str">
        <f t="shared" si="4"/>
        <v/>
      </c>
    </row>
    <row r="326" spans="2:4" x14ac:dyDescent="0.25">
      <c r="B326" t="s">
        <v>9</v>
      </c>
      <c r="D326" t="str">
        <f t="shared" si="4"/>
        <v/>
      </c>
    </row>
    <row r="327" spans="2:4" x14ac:dyDescent="0.25">
      <c r="D327" t="str">
        <f t="shared" si="4"/>
        <v/>
      </c>
    </row>
    <row r="328" spans="2:4" x14ac:dyDescent="0.25">
      <c r="B328" t="s">
        <v>19</v>
      </c>
      <c r="D328" t="str">
        <f t="shared" si="4"/>
        <v>quantity</v>
      </c>
    </row>
    <row r="329" spans="2:4" x14ac:dyDescent="0.25">
      <c r="D329" t="str">
        <f t="shared" si="4"/>
        <v/>
      </c>
    </row>
    <row r="330" spans="2:4" x14ac:dyDescent="0.25">
      <c r="B330" t="s">
        <v>20</v>
      </c>
      <c r="D330" t="str">
        <f t="shared" ref="D330:D393" si="5">IF(ISNUMBER(SEARCH("@",IFERROR(TRIM(SUBSTITUTE(MID(B330,1,FIND(":",B330)-1),"key","")),""))),"",IFERROR(TRIM(SUBSTITUTE(MID(B330,1,FIND(":",B330)-1),"key","")),""))</f>
        <v>freequantity</v>
      </c>
    </row>
    <row r="331" spans="2:4" x14ac:dyDescent="0.25">
      <c r="D331" t="str">
        <f t="shared" si="5"/>
        <v/>
      </c>
    </row>
    <row r="332" spans="2:4" x14ac:dyDescent="0.25">
      <c r="B332" t="s">
        <v>21</v>
      </c>
      <c r="D332" t="str">
        <f t="shared" si="5"/>
        <v/>
      </c>
    </row>
    <row r="333" spans="2:4" x14ac:dyDescent="0.25">
      <c r="D333" t="str">
        <f t="shared" si="5"/>
        <v/>
      </c>
    </row>
    <row r="334" spans="2:4" x14ac:dyDescent="0.25">
      <c r="B334" t="s">
        <v>22</v>
      </c>
      <c r="D334" t="str">
        <f t="shared" si="5"/>
        <v>rate</v>
      </c>
    </row>
    <row r="335" spans="2:4" x14ac:dyDescent="0.25">
      <c r="D335" t="str">
        <f t="shared" si="5"/>
        <v/>
      </c>
    </row>
    <row r="336" spans="2:4" x14ac:dyDescent="0.25">
      <c r="B336" t="s">
        <v>21</v>
      </c>
      <c r="D336" t="str">
        <f t="shared" si="5"/>
        <v/>
      </c>
    </row>
    <row r="337" spans="2:4" x14ac:dyDescent="0.25">
      <c r="D337" t="str">
        <f t="shared" si="5"/>
        <v/>
      </c>
    </row>
    <row r="338" spans="2:4" x14ac:dyDescent="0.25">
      <c r="B338" t="s">
        <v>23</v>
      </c>
      <c r="D338" t="str">
        <f t="shared" si="5"/>
        <v>cessrate</v>
      </c>
    </row>
    <row r="339" spans="2:4" x14ac:dyDescent="0.25">
      <c r="D339" t="str">
        <f t="shared" si="5"/>
        <v/>
      </c>
    </row>
    <row r="340" spans="2:4" x14ac:dyDescent="0.25">
      <c r="B340" t="s">
        <v>24</v>
      </c>
      <c r="D340" t="str">
        <f t="shared" si="5"/>
        <v>statecessrate</v>
      </c>
    </row>
    <row r="341" spans="2:4" x14ac:dyDescent="0.25">
      <c r="D341" t="str">
        <f t="shared" si="5"/>
        <v/>
      </c>
    </row>
    <row r="342" spans="2:4" x14ac:dyDescent="0.25">
      <c r="B342" t="s">
        <v>21</v>
      </c>
      <c r="D342" t="str">
        <f t="shared" si="5"/>
        <v/>
      </c>
    </row>
    <row r="343" spans="2:4" x14ac:dyDescent="0.25">
      <c r="D343" t="str">
        <f t="shared" si="5"/>
        <v/>
      </c>
    </row>
    <row r="344" spans="2:4" x14ac:dyDescent="0.25">
      <c r="B344" t="s">
        <v>25</v>
      </c>
      <c r="D344" t="str">
        <f t="shared" si="5"/>
        <v>cessnonadvaloremrate</v>
      </c>
    </row>
    <row r="345" spans="2:4" x14ac:dyDescent="0.25">
      <c r="D345" t="str">
        <f t="shared" si="5"/>
        <v/>
      </c>
    </row>
    <row r="346" spans="2:4" x14ac:dyDescent="0.25">
      <c r="B346" t="s">
        <v>26</v>
      </c>
      <c r="D346" t="str">
        <f t="shared" si="5"/>
        <v>priceperquantity</v>
      </c>
    </row>
    <row r="347" spans="2:4" x14ac:dyDescent="0.25">
      <c r="D347" t="str">
        <f t="shared" si="5"/>
        <v/>
      </c>
    </row>
    <row r="348" spans="2:4" x14ac:dyDescent="0.25">
      <c r="B348" t="s">
        <v>27</v>
      </c>
      <c r="D348" t="str">
        <f t="shared" si="5"/>
        <v/>
      </c>
    </row>
    <row r="349" spans="2:4" x14ac:dyDescent="0.25">
      <c r="D349" t="str">
        <f t="shared" si="5"/>
        <v/>
      </c>
    </row>
    <row r="350" spans="2:4" x14ac:dyDescent="0.25">
      <c r="B350" t="s">
        <v>28</v>
      </c>
      <c r="D350" t="str">
        <f t="shared" si="5"/>
        <v>discountamount</v>
      </c>
    </row>
    <row r="351" spans="2:4" x14ac:dyDescent="0.25">
      <c r="D351" t="str">
        <f t="shared" si="5"/>
        <v/>
      </c>
    </row>
    <row r="352" spans="2:4" x14ac:dyDescent="0.25">
      <c r="B352" t="s">
        <v>27</v>
      </c>
      <c r="D352" t="str">
        <f t="shared" si="5"/>
        <v/>
      </c>
    </row>
    <row r="353" spans="2:4" x14ac:dyDescent="0.25">
      <c r="D353" t="str">
        <f t="shared" si="5"/>
        <v/>
      </c>
    </row>
    <row r="354" spans="2:4" x14ac:dyDescent="0.25">
      <c r="B354" t="s">
        <v>29</v>
      </c>
      <c r="D354" t="str">
        <f t="shared" si="5"/>
        <v>grossamount</v>
      </c>
    </row>
    <row r="355" spans="2:4" x14ac:dyDescent="0.25">
      <c r="D355" t="str">
        <f t="shared" si="5"/>
        <v/>
      </c>
    </row>
    <row r="356" spans="2:4" x14ac:dyDescent="0.25">
      <c r="B356" t="s">
        <v>30</v>
      </c>
      <c r="D356" t="str">
        <f t="shared" si="5"/>
        <v>othercharges</v>
      </c>
    </row>
    <row r="357" spans="2:4" x14ac:dyDescent="0.25">
      <c r="D357" t="str">
        <f t="shared" si="5"/>
        <v/>
      </c>
    </row>
    <row r="358" spans="2:4" x14ac:dyDescent="0.25">
      <c r="B358" t="s">
        <v>8</v>
      </c>
      <c r="D358" t="str">
        <f t="shared" si="5"/>
        <v/>
      </c>
    </row>
    <row r="359" spans="2:4" x14ac:dyDescent="0.25">
      <c r="D359" t="str">
        <f t="shared" si="5"/>
        <v/>
      </c>
    </row>
    <row r="360" spans="2:4" x14ac:dyDescent="0.25">
      <c r="B360" t="s">
        <v>31</v>
      </c>
      <c r="D360" t="str">
        <f t="shared" si="5"/>
        <v>taxablevalue</v>
      </c>
    </row>
    <row r="361" spans="2:4" x14ac:dyDescent="0.25">
      <c r="D361" t="str">
        <f t="shared" si="5"/>
        <v/>
      </c>
    </row>
    <row r="362" spans="2:4" x14ac:dyDescent="0.25">
      <c r="B362" t="s">
        <v>27</v>
      </c>
      <c r="D362" t="str">
        <f t="shared" si="5"/>
        <v/>
      </c>
    </row>
    <row r="363" spans="2:4" x14ac:dyDescent="0.25">
      <c r="D363" t="str">
        <f t="shared" si="5"/>
        <v/>
      </c>
    </row>
    <row r="364" spans="2:4" x14ac:dyDescent="0.25">
      <c r="B364" t="s">
        <v>32</v>
      </c>
      <c r="D364" t="str">
        <f t="shared" si="5"/>
        <v>igstamount</v>
      </c>
    </row>
    <row r="365" spans="2:4" x14ac:dyDescent="0.25">
      <c r="D365" t="str">
        <f t="shared" si="5"/>
        <v/>
      </c>
    </row>
    <row r="366" spans="2:4" x14ac:dyDescent="0.25">
      <c r="B366" t="s">
        <v>27</v>
      </c>
      <c r="D366" t="str">
        <f t="shared" si="5"/>
        <v/>
      </c>
    </row>
    <row r="367" spans="2:4" x14ac:dyDescent="0.25">
      <c r="D367" t="str">
        <f t="shared" si="5"/>
        <v/>
      </c>
    </row>
    <row r="368" spans="2:4" x14ac:dyDescent="0.25">
      <c r="B368" t="s">
        <v>33</v>
      </c>
      <c r="D368" t="str">
        <f t="shared" si="5"/>
        <v>cgstamount</v>
      </c>
    </row>
    <row r="369" spans="2:4" x14ac:dyDescent="0.25">
      <c r="D369" t="str">
        <f t="shared" si="5"/>
        <v/>
      </c>
    </row>
    <row r="370" spans="2:4" x14ac:dyDescent="0.25">
      <c r="B370" t="s">
        <v>27</v>
      </c>
      <c r="D370" t="str">
        <f t="shared" si="5"/>
        <v/>
      </c>
    </row>
    <row r="371" spans="2:4" x14ac:dyDescent="0.25">
      <c r="D371" t="str">
        <f t="shared" si="5"/>
        <v/>
      </c>
    </row>
    <row r="372" spans="2:4" x14ac:dyDescent="0.25">
      <c r="B372" t="s">
        <v>34</v>
      </c>
      <c r="D372" t="str">
        <f t="shared" si="5"/>
        <v>sgstamount</v>
      </c>
    </row>
    <row r="373" spans="2:4" x14ac:dyDescent="0.25">
      <c r="D373" t="str">
        <f t="shared" si="5"/>
        <v/>
      </c>
    </row>
    <row r="374" spans="2:4" x14ac:dyDescent="0.25">
      <c r="B374" t="s">
        <v>27</v>
      </c>
      <c r="D374" t="str">
        <f t="shared" si="5"/>
        <v/>
      </c>
    </row>
    <row r="375" spans="2:4" x14ac:dyDescent="0.25">
      <c r="D375" t="str">
        <f t="shared" si="5"/>
        <v/>
      </c>
    </row>
    <row r="376" spans="2:4" x14ac:dyDescent="0.25">
      <c r="B376" t="s">
        <v>35</v>
      </c>
      <c r="D376" t="str">
        <f t="shared" si="5"/>
        <v>cessamount</v>
      </c>
    </row>
    <row r="377" spans="2:4" x14ac:dyDescent="0.25">
      <c r="D377" t="str">
        <f t="shared" si="5"/>
        <v/>
      </c>
    </row>
    <row r="378" spans="2:4" x14ac:dyDescent="0.25">
      <c r="B378" t="s">
        <v>27</v>
      </c>
      <c r="D378" t="str">
        <f t="shared" si="5"/>
        <v/>
      </c>
    </row>
    <row r="379" spans="2:4" x14ac:dyDescent="0.25">
      <c r="D379" t="str">
        <f t="shared" si="5"/>
        <v/>
      </c>
    </row>
    <row r="380" spans="2:4" x14ac:dyDescent="0.25">
      <c r="B380" t="s">
        <v>36</v>
      </c>
      <c r="D380" t="str">
        <f t="shared" si="5"/>
        <v>statecessamount</v>
      </c>
    </row>
    <row r="381" spans="2:4" x14ac:dyDescent="0.25">
      <c r="D381" t="str">
        <f t="shared" si="5"/>
        <v/>
      </c>
    </row>
    <row r="382" spans="2:4" x14ac:dyDescent="0.25">
      <c r="B382" t="s">
        <v>27</v>
      </c>
      <c r="D382" t="str">
        <f t="shared" si="5"/>
        <v/>
      </c>
    </row>
    <row r="383" spans="2:4" x14ac:dyDescent="0.25">
      <c r="D383" t="str">
        <f t="shared" si="5"/>
        <v/>
      </c>
    </row>
    <row r="384" spans="2:4" x14ac:dyDescent="0.25">
      <c r="B384" t="s">
        <v>37</v>
      </c>
      <c r="D384" t="str">
        <f t="shared" si="5"/>
        <v>cessnonadvaloremamount</v>
      </c>
    </row>
    <row r="385" spans="2:4" x14ac:dyDescent="0.25">
      <c r="D385" t="str">
        <f t="shared" si="5"/>
        <v/>
      </c>
    </row>
    <row r="386" spans="2:4" x14ac:dyDescent="0.25">
      <c r="B386" t="s">
        <v>38</v>
      </c>
      <c r="D386" t="str">
        <f t="shared" si="5"/>
        <v>statecessnonadvaloremamount</v>
      </c>
    </row>
    <row r="387" spans="2:4" x14ac:dyDescent="0.25">
      <c r="D387" t="str">
        <f t="shared" si="5"/>
        <v/>
      </c>
    </row>
    <row r="388" spans="2:4" x14ac:dyDescent="0.25">
      <c r="B388" t="s">
        <v>39</v>
      </c>
      <c r="D388" t="str">
        <f t="shared" si="5"/>
        <v>taxtype</v>
      </c>
    </row>
    <row r="389" spans="2:4" x14ac:dyDescent="0.25">
      <c r="D389" t="str">
        <f t="shared" si="5"/>
        <v/>
      </c>
    </row>
    <row r="390" spans="2:4" x14ac:dyDescent="0.25">
      <c r="B390" t="s">
        <v>40</v>
      </c>
      <c r="D390" t="str">
        <f t="shared" si="5"/>
        <v>itceligibility</v>
      </c>
    </row>
    <row r="391" spans="2:4" x14ac:dyDescent="0.25">
      <c r="D391" t="str">
        <f t="shared" si="5"/>
        <v/>
      </c>
    </row>
    <row r="392" spans="2:4" x14ac:dyDescent="0.25">
      <c r="B392" t="s">
        <v>27</v>
      </c>
      <c r="D392" t="str">
        <f t="shared" si="5"/>
        <v/>
      </c>
    </row>
    <row r="393" spans="2:4" x14ac:dyDescent="0.25">
      <c r="D393" t="str">
        <f t="shared" si="5"/>
        <v/>
      </c>
    </row>
    <row r="394" spans="2:4" x14ac:dyDescent="0.25">
      <c r="B394" t="s">
        <v>41</v>
      </c>
      <c r="D394" t="str">
        <f t="shared" ref="D394:D457" si="6">IF(ISNUMBER(SEARCH("@",IFERROR(TRIM(SUBSTITUTE(MID(B394,1,FIND(":",B394)-1),"key","")),""))),"",IFERROR(TRIM(SUBSTITUTE(MID(B394,1,FIND(":",B394)-1),"key","")),""))</f>
        <v>itcigstamount</v>
      </c>
    </row>
    <row r="395" spans="2:4" x14ac:dyDescent="0.25">
      <c r="D395" t="str">
        <f t="shared" si="6"/>
        <v/>
      </c>
    </row>
    <row r="396" spans="2:4" x14ac:dyDescent="0.25">
      <c r="B396" t="s">
        <v>27</v>
      </c>
      <c r="D396" t="str">
        <f t="shared" si="6"/>
        <v/>
      </c>
    </row>
    <row r="397" spans="2:4" x14ac:dyDescent="0.25">
      <c r="D397" t="str">
        <f t="shared" si="6"/>
        <v/>
      </c>
    </row>
    <row r="398" spans="2:4" x14ac:dyDescent="0.25">
      <c r="B398" t="s">
        <v>42</v>
      </c>
      <c r="D398" t="str">
        <f t="shared" si="6"/>
        <v>itccgstamount</v>
      </c>
    </row>
    <row r="399" spans="2:4" x14ac:dyDescent="0.25">
      <c r="D399" t="str">
        <f t="shared" si="6"/>
        <v/>
      </c>
    </row>
    <row r="400" spans="2:4" x14ac:dyDescent="0.25">
      <c r="B400" t="s">
        <v>27</v>
      </c>
      <c r="D400" t="str">
        <f t="shared" si="6"/>
        <v/>
      </c>
    </row>
    <row r="401" spans="2:4" x14ac:dyDescent="0.25">
      <c r="D401" t="str">
        <f t="shared" si="6"/>
        <v/>
      </c>
    </row>
    <row r="402" spans="2:4" x14ac:dyDescent="0.25">
      <c r="B402" t="s">
        <v>43</v>
      </c>
      <c r="D402" t="str">
        <f t="shared" si="6"/>
        <v>itcsgstamount</v>
      </c>
    </row>
    <row r="403" spans="2:4" x14ac:dyDescent="0.25">
      <c r="D403" t="str">
        <f t="shared" si="6"/>
        <v/>
      </c>
    </row>
    <row r="404" spans="2:4" x14ac:dyDescent="0.25">
      <c r="B404" t="s">
        <v>27</v>
      </c>
      <c r="D404" t="str">
        <f t="shared" si="6"/>
        <v/>
      </c>
    </row>
    <row r="405" spans="2:4" x14ac:dyDescent="0.25">
      <c r="D405" t="str">
        <f t="shared" si="6"/>
        <v/>
      </c>
    </row>
    <row r="406" spans="2:4" x14ac:dyDescent="0.25">
      <c r="B406" t="s">
        <v>44</v>
      </c>
      <c r="D406" t="str">
        <f t="shared" si="6"/>
        <v>itccessamount</v>
      </c>
    </row>
    <row r="407" spans="2:4" x14ac:dyDescent="0.25">
      <c r="D407" t="str">
        <f t="shared" si="6"/>
        <v/>
      </c>
    </row>
    <row r="408" spans="2:4" x14ac:dyDescent="0.25">
      <c r="B408" t="s">
        <v>45</v>
      </c>
      <c r="D408" t="str">
        <f t="shared" si="6"/>
        <v>customitem1</v>
      </c>
    </row>
    <row r="409" spans="2:4" x14ac:dyDescent="0.25">
      <c r="D409" t="str">
        <f t="shared" si="6"/>
        <v/>
      </c>
    </row>
    <row r="410" spans="2:4" x14ac:dyDescent="0.25">
      <c r="B410" t="s">
        <v>46</v>
      </c>
      <c r="D410" t="str">
        <f t="shared" si="6"/>
        <v>customitem2</v>
      </c>
    </row>
    <row r="411" spans="2:4" x14ac:dyDescent="0.25">
      <c r="D411" t="str">
        <f t="shared" si="6"/>
        <v/>
      </c>
    </row>
    <row r="412" spans="2:4" x14ac:dyDescent="0.25">
      <c r="B412" t="s">
        <v>47</v>
      </c>
      <c r="D412" t="str">
        <f t="shared" si="6"/>
        <v>customitem3</v>
      </c>
    </row>
    <row r="413" spans="2:4" x14ac:dyDescent="0.25">
      <c r="D413" t="str">
        <f t="shared" si="6"/>
        <v/>
      </c>
    </row>
    <row r="414" spans="2:4" x14ac:dyDescent="0.25">
      <c r="B414" t="s">
        <v>48</v>
      </c>
      <c r="D414" t="str">
        <f t="shared" si="6"/>
        <v>customitem4</v>
      </c>
    </row>
    <row r="415" spans="2:4" x14ac:dyDescent="0.25">
      <c r="D415" t="str">
        <f t="shared" si="6"/>
        <v/>
      </c>
    </row>
    <row r="416" spans="2:4" x14ac:dyDescent="0.25">
      <c r="B416" t="s">
        <v>49</v>
      </c>
      <c r="D416" t="str">
        <f t="shared" si="6"/>
        <v>customitem5</v>
      </c>
    </row>
    <row r="417" spans="2:4" x14ac:dyDescent="0.25">
      <c r="D417" t="str">
        <f t="shared" si="6"/>
        <v/>
      </c>
    </row>
    <row r="418" spans="2:4" x14ac:dyDescent="0.25">
      <c r="B418" t="s">
        <v>50</v>
      </c>
      <c r="D418" t="str">
        <f t="shared" si="6"/>
        <v>customitem6</v>
      </c>
    </row>
    <row r="419" spans="2:4" x14ac:dyDescent="0.25">
      <c r="D419" t="str">
        <f t="shared" si="6"/>
        <v/>
      </c>
    </row>
    <row r="420" spans="2:4" x14ac:dyDescent="0.25">
      <c r="B420" t="s">
        <v>51</v>
      </c>
      <c r="D420" t="str">
        <f t="shared" si="6"/>
        <v>customitem7</v>
      </c>
    </row>
    <row r="421" spans="2:4" x14ac:dyDescent="0.25">
      <c r="D421" t="str">
        <f t="shared" si="6"/>
        <v/>
      </c>
    </row>
    <row r="422" spans="2:4" x14ac:dyDescent="0.25">
      <c r="B422" t="s">
        <v>52</v>
      </c>
      <c r="D422" t="str">
        <f t="shared" si="6"/>
        <v>customitem8</v>
      </c>
    </row>
    <row r="423" spans="2:4" x14ac:dyDescent="0.25">
      <c r="D423" t="str">
        <f t="shared" si="6"/>
        <v/>
      </c>
    </row>
    <row r="424" spans="2:4" x14ac:dyDescent="0.25">
      <c r="B424" t="s">
        <v>53</v>
      </c>
      <c r="D424" t="str">
        <f t="shared" si="6"/>
        <v>customitem9</v>
      </c>
    </row>
    <row r="425" spans="2:4" x14ac:dyDescent="0.25">
      <c r="D425" t="str">
        <f t="shared" si="6"/>
        <v/>
      </c>
    </row>
    <row r="426" spans="2:4" x14ac:dyDescent="0.25">
      <c r="B426" t="s">
        <v>54</v>
      </c>
      <c r="D426" t="str">
        <f t="shared" si="6"/>
        <v>customitem10</v>
      </c>
    </row>
    <row r="427" spans="2:4" x14ac:dyDescent="0.25">
      <c r="D427" t="str">
        <f t="shared" si="6"/>
        <v/>
      </c>
    </row>
    <row r="428" spans="2:4" x14ac:dyDescent="0.25">
      <c r="B428" t="s">
        <v>55</v>
      </c>
      <c r="D428" t="str">
        <f t="shared" si="6"/>
        <v>cpgstin</v>
      </c>
    </row>
    <row r="429" spans="2:4" x14ac:dyDescent="0.25">
      <c r="D429" t="str">
        <f t="shared" si="6"/>
        <v/>
      </c>
    </row>
    <row r="430" spans="2:4" x14ac:dyDescent="0.25">
      <c r="B430" t="s">
        <v>56</v>
      </c>
      <c r="D430" t="str">
        <f t="shared" si="6"/>
        <v>cptradename</v>
      </c>
    </row>
    <row r="431" spans="2:4" x14ac:dyDescent="0.25">
      <c r="D431" t="str">
        <f t="shared" si="6"/>
        <v/>
      </c>
    </row>
    <row r="432" spans="2:4" x14ac:dyDescent="0.25">
      <c r="B432" t="s">
        <v>57</v>
      </c>
      <c r="D432" t="str">
        <f t="shared" si="6"/>
        <v>cplegalname</v>
      </c>
    </row>
    <row r="433" spans="2:4" x14ac:dyDescent="0.25">
      <c r="D433" t="str">
        <f t="shared" si="6"/>
        <v/>
      </c>
    </row>
    <row r="434" spans="2:4" x14ac:dyDescent="0.25">
      <c r="B434" t="s">
        <v>58</v>
      </c>
      <c r="D434" t="str">
        <f t="shared" si="6"/>
        <v>cporiginaldocumentnumber</v>
      </c>
    </row>
    <row r="435" spans="2:4" x14ac:dyDescent="0.25">
      <c r="D435" t="str">
        <f t="shared" si="6"/>
        <v/>
      </c>
    </row>
    <row r="436" spans="2:4" x14ac:dyDescent="0.25">
      <c r="B436" t="s">
        <v>59</v>
      </c>
      <c r="D436" t="str">
        <f t="shared" si="6"/>
        <v>cporiginaldocumentdate</v>
      </c>
    </row>
    <row r="437" spans="2:4" x14ac:dyDescent="0.25">
      <c r="D437" t="str">
        <f t="shared" si="6"/>
        <v/>
      </c>
    </row>
    <row r="438" spans="2:4" x14ac:dyDescent="0.25">
      <c r="B438" t="s">
        <v>60</v>
      </c>
      <c r="D438" t="str">
        <f t="shared" si="6"/>
        <v>cpportcode</v>
      </c>
    </row>
    <row r="439" spans="2:4" x14ac:dyDescent="0.25">
      <c r="D439" t="str">
        <f t="shared" si="6"/>
        <v/>
      </c>
    </row>
    <row r="440" spans="2:4" x14ac:dyDescent="0.25">
      <c r="B440" t="s">
        <v>61</v>
      </c>
      <c r="D440" t="str">
        <f t="shared" si="6"/>
        <v>cpdocumentnumber</v>
      </c>
    </row>
    <row r="441" spans="2:4" x14ac:dyDescent="0.25">
      <c r="D441" t="str">
        <f t="shared" si="6"/>
        <v/>
      </c>
    </row>
    <row r="442" spans="2:4" x14ac:dyDescent="0.25">
      <c r="B442" t="s">
        <v>62</v>
      </c>
      <c r="D442" t="str">
        <f t="shared" si="6"/>
        <v>cpdocumentdate</v>
      </c>
    </row>
    <row r="443" spans="2:4" x14ac:dyDescent="0.25">
      <c r="D443" t="str">
        <f t="shared" si="6"/>
        <v/>
      </c>
    </row>
    <row r="444" spans="2:4" x14ac:dyDescent="0.25">
      <c r="B444" t="s">
        <v>63</v>
      </c>
      <c r="D444" t="str">
        <f t="shared" si="6"/>
        <v>cpvalue</v>
      </c>
    </row>
    <row r="445" spans="2:4" x14ac:dyDescent="0.25">
      <c r="D445" t="str">
        <f t="shared" si="6"/>
        <v/>
      </c>
    </row>
    <row r="446" spans="2:4" x14ac:dyDescent="0.25">
      <c r="B446" t="s">
        <v>64</v>
      </c>
      <c r="D446" t="str">
        <f t="shared" si="6"/>
        <v>cppos</v>
      </c>
    </row>
    <row r="447" spans="2:4" x14ac:dyDescent="0.25">
      <c r="D447" t="str">
        <f t="shared" si="6"/>
        <v/>
      </c>
    </row>
    <row r="448" spans="2:4" x14ac:dyDescent="0.25">
      <c r="B448" t="s">
        <v>65</v>
      </c>
      <c r="D448" t="str">
        <f t="shared" si="6"/>
        <v>cpreversecharge</v>
      </c>
    </row>
    <row r="449" spans="2:4" x14ac:dyDescent="0.25">
      <c r="D449" t="str">
        <f t="shared" si="6"/>
        <v/>
      </c>
    </row>
    <row r="450" spans="2:4" x14ac:dyDescent="0.25">
      <c r="B450" t="s">
        <v>66</v>
      </c>
      <c r="D450" t="str">
        <f t="shared" si="6"/>
        <v>cpdifferentialpercentage</v>
      </c>
    </row>
    <row r="451" spans="2:4" x14ac:dyDescent="0.25">
      <c r="D451" t="str">
        <f t="shared" si="6"/>
        <v/>
      </c>
    </row>
    <row r="452" spans="2:4" x14ac:dyDescent="0.25">
      <c r="B452" t="s">
        <v>67</v>
      </c>
      <c r="D452" t="str">
        <f t="shared" si="6"/>
        <v>cptransactiontype</v>
      </c>
    </row>
    <row r="453" spans="2:4" x14ac:dyDescent="0.25">
      <c r="D453" t="str">
        <f t="shared" si="6"/>
        <v/>
      </c>
    </row>
    <row r="454" spans="2:4" x14ac:dyDescent="0.25">
      <c r="B454" t="s">
        <v>68</v>
      </c>
      <c r="D454" t="str">
        <f t="shared" si="6"/>
        <v>cptaxpayertype</v>
      </c>
    </row>
    <row r="455" spans="2:4" x14ac:dyDescent="0.25">
      <c r="D455" t="str">
        <f t="shared" si="6"/>
        <v/>
      </c>
    </row>
    <row r="456" spans="2:4" x14ac:dyDescent="0.25">
      <c r="B456" t="s">
        <v>69</v>
      </c>
      <c r="D456" t="str">
        <f t="shared" si="6"/>
        <v>cptaxablevalue</v>
      </c>
    </row>
    <row r="457" spans="2:4" x14ac:dyDescent="0.25">
      <c r="D457" t="str">
        <f t="shared" si="6"/>
        <v/>
      </c>
    </row>
    <row r="458" spans="2:4" x14ac:dyDescent="0.25">
      <c r="B458" t="s">
        <v>70</v>
      </c>
      <c r="D458" t="str">
        <f t="shared" ref="D458:D521" si="7">IF(ISNUMBER(SEARCH("@",IFERROR(TRIM(SUBSTITUTE(MID(B458,1,FIND(":",B458)-1),"key","")),""))),"",IFERROR(TRIM(SUBSTITUTE(MID(B458,1,FIND(":",B458)-1),"key","")),""))</f>
        <v>cprate</v>
      </c>
    </row>
    <row r="459" spans="2:4" x14ac:dyDescent="0.25">
      <c r="D459" t="str">
        <f t="shared" si="7"/>
        <v/>
      </c>
    </row>
    <row r="460" spans="2:4" x14ac:dyDescent="0.25">
      <c r="B460" t="s">
        <v>71</v>
      </c>
      <c r="D460" t="str">
        <f t="shared" si="7"/>
        <v>cpigstamount</v>
      </c>
    </row>
    <row r="461" spans="2:4" x14ac:dyDescent="0.25">
      <c r="D461" t="str">
        <f t="shared" si="7"/>
        <v/>
      </c>
    </row>
    <row r="462" spans="2:4" x14ac:dyDescent="0.25">
      <c r="B462" t="s">
        <v>72</v>
      </c>
      <c r="D462" t="str">
        <f t="shared" si="7"/>
        <v>cpcgstamount</v>
      </c>
    </row>
    <row r="463" spans="2:4" x14ac:dyDescent="0.25">
      <c r="D463" t="str">
        <f t="shared" si="7"/>
        <v/>
      </c>
    </row>
    <row r="464" spans="2:4" x14ac:dyDescent="0.25">
      <c r="B464" t="s">
        <v>73</v>
      </c>
      <c r="D464" t="str">
        <f t="shared" si="7"/>
        <v>cpsgstamount</v>
      </c>
    </row>
    <row r="465" spans="2:4" x14ac:dyDescent="0.25">
      <c r="D465" t="str">
        <f t="shared" si="7"/>
        <v/>
      </c>
    </row>
    <row r="466" spans="2:4" x14ac:dyDescent="0.25">
      <c r="B466" t="s">
        <v>74</v>
      </c>
      <c r="D466" t="str">
        <f t="shared" si="7"/>
        <v>cpcessamount</v>
      </c>
    </row>
    <row r="467" spans="2:4" x14ac:dyDescent="0.25">
      <c r="D467" t="str">
        <f t="shared" si="7"/>
        <v/>
      </c>
    </row>
    <row r="468" spans="2:4" x14ac:dyDescent="0.25">
      <c r="B468" t="s">
        <v>75</v>
      </c>
      <c r="D468" t="str">
        <f t="shared" si="7"/>
        <v>cpfilingstatus</v>
      </c>
    </row>
    <row r="469" spans="2:4" x14ac:dyDescent="0.25">
      <c r="D469" t="str">
        <f t="shared" si="7"/>
        <v/>
      </c>
    </row>
    <row r="470" spans="2:4" x14ac:dyDescent="0.25">
      <c r="B470" t="s">
        <v>76</v>
      </c>
      <c r="D470" t="str">
        <f t="shared" si="7"/>
        <v>cpsuppliercancellationdate</v>
      </c>
    </row>
    <row r="471" spans="2:4" x14ac:dyDescent="0.25">
      <c r="D471" t="str">
        <f t="shared" si="7"/>
        <v/>
      </c>
    </row>
    <row r="472" spans="2:4" x14ac:dyDescent="0.25">
      <c r="B472" t="s">
        <v>77</v>
      </c>
      <c r="D472" t="str">
        <f t="shared" si="7"/>
        <v>cpfilingdate</v>
      </c>
    </row>
    <row r="473" spans="2:4" x14ac:dyDescent="0.25">
      <c r="D473" t="str">
        <f t="shared" si="7"/>
        <v/>
      </c>
    </row>
    <row r="474" spans="2:4" x14ac:dyDescent="0.25">
      <c r="B474" t="s">
        <v>78</v>
      </c>
      <c r="D474" t="str">
        <f t="shared" si="7"/>
        <v>cpfilingreturnperiod</v>
      </c>
    </row>
    <row r="475" spans="2:4" x14ac:dyDescent="0.25">
      <c r="D475" t="str">
        <f t="shared" si="7"/>
        <v/>
      </c>
    </row>
    <row r="476" spans="2:4" x14ac:dyDescent="0.25">
      <c r="B476" t="s">
        <v>79</v>
      </c>
      <c r="D476" t="str">
        <f t="shared" si="7"/>
        <v>cpautodraftsource</v>
      </c>
    </row>
    <row r="477" spans="2:4" x14ac:dyDescent="0.25">
      <c r="D477" t="str">
        <f t="shared" si="7"/>
        <v/>
      </c>
    </row>
    <row r="478" spans="2:4" x14ac:dyDescent="0.25">
      <c r="B478" t="s">
        <v>80</v>
      </c>
      <c r="D478" t="str">
        <f t="shared" si="7"/>
        <v>cpirn</v>
      </c>
    </row>
    <row r="479" spans="2:4" x14ac:dyDescent="0.25">
      <c r="D479" t="str">
        <f t="shared" si="7"/>
        <v/>
      </c>
    </row>
    <row r="480" spans="2:4" x14ac:dyDescent="0.25">
      <c r="B480" t="s">
        <v>81</v>
      </c>
      <c r="D480" t="str">
        <f t="shared" si="7"/>
        <v>cpirngenerationdate</v>
      </c>
    </row>
    <row r="481" spans="2:4" x14ac:dyDescent="0.25">
      <c r="D481" t="str">
        <f t="shared" si="7"/>
        <v/>
      </c>
    </row>
    <row r="482" spans="2:4" x14ac:dyDescent="0.25">
      <c r="B482" t="s">
        <v>82</v>
      </c>
      <c r="D482" t="str">
        <f t="shared" si="7"/>
        <v>cprefprecedingdocumentdetails</v>
      </c>
    </row>
    <row r="483" spans="2:4" x14ac:dyDescent="0.25">
      <c r="D483" t="str">
        <f t="shared" si="7"/>
        <v/>
      </c>
    </row>
    <row r="484" spans="2:4" x14ac:dyDescent="0.25">
      <c r="B484" t="s">
        <v>83</v>
      </c>
      <c r="D484" t="str">
        <f t="shared" si="7"/>
        <v>cpavailableingstr2b</v>
      </c>
    </row>
    <row r="485" spans="2:4" x14ac:dyDescent="0.25">
      <c r="D485" t="str">
        <f t="shared" si="7"/>
        <v/>
      </c>
    </row>
    <row r="486" spans="2:4" x14ac:dyDescent="0.25">
      <c r="B486" t="s">
        <v>84</v>
      </c>
      <c r="D486" t="str">
        <f t="shared" si="7"/>
        <v>cpgstr2breturnperiod</v>
      </c>
    </row>
    <row r="487" spans="2:4" x14ac:dyDescent="0.25">
      <c r="D487" t="str">
        <f t="shared" si="7"/>
        <v/>
      </c>
    </row>
    <row r="488" spans="2:4" x14ac:dyDescent="0.25">
      <c r="B488" t="s">
        <v>85</v>
      </c>
      <c r="D488" t="str">
        <f t="shared" si="7"/>
        <v>cpavailableingstr98a</v>
      </c>
    </row>
    <row r="489" spans="2:4" x14ac:dyDescent="0.25">
      <c r="D489" t="str">
        <f t="shared" si="7"/>
        <v/>
      </c>
    </row>
    <row r="490" spans="2:4" x14ac:dyDescent="0.25">
      <c r="B490" t="s">
        <v>86</v>
      </c>
      <c r="D490" t="str">
        <f t="shared" si="7"/>
        <v>cpitcavailability</v>
      </c>
    </row>
    <row r="491" spans="2:4" x14ac:dyDescent="0.25">
      <c r="D491" t="str">
        <f t="shared" si="7"/>
        <v/>
      </c>
    </row>
    <row r="492" spans="2:4" x14ac:dyDescent="0.25">
      <c r="B492" t="s">
        <v>87</v>
      </c>
      <c r="D492" t="str">
        <f t="shared" si="7"/>
        <v>cpitcunavailabilityreason</v>
      </c>
    </row>
    <row r="493" spans="2:4" x14ac:dyDescent="0.25">
      <c r="D493" t="str">
        <f t="shared" si="7"/>
        <v/>
      </c>
    </row>
    <row r="494" spans="2:4" x14ac:dyDescent="0.25">
      <c r="B494" t="s">
        <v>88</v>
      </c>
      <c r="D494" t="str">
        <f t="shared" si="7"/>
        <v>cpitcclaimmonth</v>
      </c>
    </row>
    <row r="495" spans="2:4" x14ac:dyDescent="0.25">
      <c r="D495" t="str">
        <f t="shared" si="7"/>
        <v/>
      </c>
    </row>
    <row r="496" spans="2:4" x14ac:dyDescent="0.25">
      <c r="B496" t="s">
        <v>89</v>
      </c>
      <c r="D496" t="str">
        <f t="shared" si="7"/>
        <v>cpreturnperiod</v>
      </c>
    </row>
    <row r="497" spans="2:4" x14ac:dyDescent="0.25">
      <c r="D497" t="str">
        <f t="shared" si="7"/>
        <v/>
      </c>
    </row>
    <row r="498" spans="2:4" x14ac:dyDescent="0.25">
      <c r="B498" t="s">
        <v>90</v>
      </c>
      <c r="D498" t="str">
        <f t="shared" si="7"/>
        <v>cpisamendment</v>
      </c>
    </row>
    <row r="499" spans="2:4" x14ac:dyDescent="0.25">
      <c r="D499" t="str">
        <f t="shared" si="7"/>
        <v/>
      </c>
    </row>
    <row r="500" spans="2:4" x14ac:dyDescent="0.25">
      <c r="B500" t="s">
        <v>91</v>
      </c>
      <c r="D500" t="str">
        <f t="shared" si="7"/>
        <v>cporiginalreturnperiod</v>
      </c>
    </row>
    <row r="501" spans="2:4" x14ac:dyDescent="0.25">
      <c r="D501" t="str">
        <f t="shared" si="7"/>
        <v/>
      </c>
    </row>
    <row r="502" spans="2:4" x14ac:dyDescent="0.25">
      <c r="B502" t="s">
        <v>92</v>
      </c>
      <c r="D502" t="str">
        <f t="shared" si="7"/>
        <v>cpamendedtype</v>
      </c>
    </row>
    <row r="503" spans="2:4" x14ac:dyDescent="0.25">
      <c r="D503" t="str">
        <f t="shared" si="7"/>
        <v/>
      </c>
    </row>
    <row r="504" spans="2:4" x14ac:dyDescent="0.25">
      <c r="B504" t="s">
        <v>8</v>
      </c>
      <c r="D504" t="str">
        <f t="shared" si="7"/>
        <v/>
      </c>
    </row>
    <row r="505" spans="2:4" x14ac:dyDescent="0.25">
      <c r="D505" t="str">
        <f t="shared" si="7"/>
        <v/>
      </c>
    </row>
    <row r="506" spans="2:4" x14ac:dyDescent="0.25">
      <c r="B506" t="s">
        <v>93</v>
      </c>
      <c r="D506" t="str">
        <f t="shared" si="7"/>
        <v>valuediff</v>
      </c>
    </row>
    <row r="507" spans="2:4" x14ac:dyDescent="0.25">
      <c r="D507" t="str">
        <f t="shared" si="7"/>
        <v/>
      </c>
    </row>
    <row r="508" spans="2:4" x14ac:dyDescent="0.25">
      <c r="B508" t="s">
        <v>8</v>
      </c>
      <c r="D508" t="str">
        <f t="shared" si="7"/>
        <v/>
      </c>
    </row>
    <row r="509" spans="2:4" x14ac:dyDescent="0.25">
      <c r="D509" t="str">
        <f t="shared" si="7"/>
        <v/>
      </c>
    </row>
    <row r="510" spans="2:4" x14ac:dyDescent="0.25">
      <c r="B510" t="s">
        <v>94</v>
      </c>
      <c r="D510" t="str">
        <f t="shared" si="7"/>
        <v>taxablediff</v>
      </c>
    </row>
    <row r="511" spans="2:4" x14ac:dyDescent="0.25">
      <c r="D511" t="str">
        <f t="shared" si="7"/>
        <v/>
      </c>
    </row>
    <row r="512" spans="2:4" x14ac:dyDescent="0.25">
      <c r="B512" t="s">
        <v>8</v>
      </c>
      <c r="D512" t="str">
        <f t="shared" si="7"/>
        <v/>
      </c>
    </row>
    <row r="513" spans="2:4" x14ac:dyDescent="0.25">
      <c r="D513" t="str">
        <f t="shared" si="7"/>
        <v/>
      </c>
    </row>
    <row r="514" spans="2:4" x14ac:dyDescent="0.25">
      <c r="B514" t="s">
        <v>95</v>
      </c>
      <c r="D514" t="str">
        <f t="shared" si="7"/>
        <v>taxdiff</v>
      </c>
    </row>
    <row r="515" spans="2:4" x14ac:dyDescent="0.25">
      <c r="D515" t="str">
        <f t="shared" si="7"/>
        <v/>
      </c>
    </row>
    <row r="516" spans="2:4" x14ac:dyDescent="0.25">
      <c r="B516" t="s">
        <v>96</v>
      </c>
      <c r="D516" t="str">
        <f t="shared" si="7"/>
        <v>reason</v>
      </c>
    </row>
    <row r="517" spans="2:4" x14ac:dyDescent="0.25">
      <c r="D517" t="str">
        <f t="shared" si="7"/>
        <v/>
      </c>
    </row>
    <row r="518" spans="2:4" x14ac:dyDescent="0.25">
      <c r="B518" t="s">
        <v>97</v>
      </c>
      <c r="D518" t="str">
        <f t="shared" si="7"/>
        <v>rec_date</v>
      </c>
    </row>
    <row r="519" spans="2:4" x14ac:dyDescent="0.25">
      <c r="D519" t="str">
        <f t="shared" si="7"/>
        <v/>
      </c>
    </row>
    <row r="520" spans="2:4" x14ac:dyDescent="0.25">
      <c r="B520" t="s">
        <v>98</v>
      </c>
      <c r="D520" t="str">
        <f t="shared" si="7"/>
        <v>rec_time</v>
      </c>
    </row>
    <row r="521" spans="2:4" x14ac:dyDescent="0.25">
      <c r="D521" t="str">
        <f t="shared" si="7"/>
        <v/>
      </c>
    </row>
    <row r="522" spans="2:4" x14ac:dyDescent="0.25">
      <c r="B522" t="s">
        <v>6</v>
      </c>
      <c r="D522" t="str">
        <f t="shared" ref="D522" si="8">IF(ISNUMBER(SEARCH("@",IFERROR(TRIM(SUBSTITUTE(MID(B522,1,FIND(":",B522)-1),"key","")),""))),"",IFERROR(TRIM(SUBSTITUTE(MID(B522,1,FIND(":",B522)-1),"key","")),""))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0D53-0415-4A98-8ADF-E39E88A94125}">
  <dimension ref="B2:I268"/>
  <sheetViews>
    <sheetView tabSelected="1" topLeftCell="A250" workbookViewId="0">
      <selection activeCell="I264" sqref="I264"/>
    </sheetView>
  </sheetViews>
  <sheetFormatPr defaultRowHeight="15" x14ac:dyDescent="0.25"/>
  <sheetData>
    <row r="2" spans="2:9" x14ac:dyDescent="0.25">
      <c r="B2" t="s">
        <v>904</v>
      </c>
    </row>
    <row r="3" spans="2:9" x14ac:dyDescent="0.25">
      <c r="B3" t="s">
        <v>7</v>
      </c>
    </row>
    <row r="4" spans="2:9" x14ac:dyDescent="0.25">
      <c r="B4" t="s">
        <v>905</v>
      </c>
    </row>
    <row r="5" spans="2:9" x14ac:dyDescent="0.25">
      <c r="B5" t="s">
        <v>906</v>
      </c>
    </row>
    <row r="6" spans="2:9" x14ac:dyDescent="0.25">
      <c r="B6" t="s">
        <v>907</v>
      </c>
    </row>
    <row r="7" spans="2:9" x14ac:dyDescent="0.25">
      <c r="B7" t="s">
        <v>908</v>
      </c>
    </row>
    <row r="9" spans="2:9" x14ac:dyDescent="0.25">
      <c r="B9" t="s">
        <v>909</v>
      </c>
    </row>
    <row r="10" spans="2:9" x14ac:dyDescent="0.25">
      <c r="B10" t="s">
        <v>910</v>
      </c>
      <c r="I10" t="s">
        <v>893</v>
      </c>
    </row>
    <row r="11" spans="2:9" x14ac:dyDescent="0.25">
      <c r="B11" t="s">
        <v>911</v>
      </c>
      <c r="I11" t="s">
        <v>893</v>
      </c>
    </row>
    <row r="12" spans="2:9" x14ac:dyDescent="0.25">
      <c r="B12" t="s">
        <v>912</v>
      </c>
      <c r="I12" t="s">
        <v>893</v>
      </c>
    </row>
    <row r="13" spans="2:9" x14ac:dyDescent="0.25">
      <c r="B13" t="s">
        <v>913</v>
      </c>
      <c r="I13" t="s">
        <v>890</v>
      </c>
    </row>
    <row r="14" spans="2:9" x14ac:dyDescent="0.25">
      <c r="B14" t="s">
        <v>914</v>
      </c>
      <c r="I14" t="s">
        <v>891</v>
      </c>
    </row>
    <row r="15" spans="2:9" x14ac:dyDescent="0.25">
      <c r="B15" t="s">
        <v>915</v>
      </c>
      <c r="I15" t="s">
        <v>892</v>
      </c>
    </row>
    <row r="16" spans="2:9" x14ac:dyDescent="0.25">
      <c r="B16" t="s">
        <v>916</v>
      </c>
      <c r="I16" t="s">
        <v>898</v>
      </c>
    </row>
    <row r="17" spans="2:9" x14ac:dyDescent="0.25">
      <c r="B17" t="s">
        <v>917</v>
      </c>
    </row>
    <row r="18" spans="2:9" x14ac:dyDescent="0.25">
      <c r="B18" t="s">
        <v>918</v>
      </c>
      <c r="I18" t="s">
        <v>891</v>
      </c>
    </row>
    <row r="19" spans="2:9" x14ac:dyDescent="0.25">
      <c r="B19" t="s">
        <v>919</v>
      </c>
      <c r="I19" t="s">
        <v>890</v>
      </c>
    </row>
    <row r="20" spans="2:9" x14ac:dyDescent="0.25">
      <c r="B20" t="s">
        <v>920</v>
      </c>
      <c r="I20" t="s">
        <v>893</v>
      </c>
    </row>
    <row r="21" spans="2:9" x14ac:dyDescent="0.25">
      <c r="B21" t="s">
        <v>921</v>
      </c>
      <c r="I21" t="s">
        <v>901</v>
      </c>
    </row>
    <row r="22" spans="2:9" x14ac:dyDescent="0.25">
      <c r="B22" t="s">
        <v>922</v>
      </c>
      <c r="I22" t="s">
        <v>1143</v>
      </c>
    </row>
    <row r="23" spans="2:9" x14ac:dyDescent="0.25">
      <c r="B23" t="s">
        <v>923</v>
      </c>
      <c r="I23" t="s">
        <v>893</v>
      </c>
    </row>
    <row r="24" spans="2:9" x14ac:dyDescent="0.25">
      <c r="B24" t="s">
        <v>924</v>
      </c>
      <c r="I24" t="s">
        <v>1144</v>
      </c>
    </row>
    <row r="25" spans="2:9" x14ac:dyDescent="0.25">
      <c r="B25" t="s">
        <v>925</v>
      </c>
      <c r="I25" t="s">
        <v>890</v>
      </c>
    </row>
    <row r="26" spans="2:9" x14ac:dyDescent="0.25">
      <c r="B26" t="s">
        <v>926</v>
      </c>
      <c r="I26" t="s">
        <v>890</v>
      </c>
    </row>
    <row r="27" spans="2:9" x14ac:dyDescent="0.25">
      <c r="B27" t="s">
        <v>927</v>
      </c>
      <c r="I27" t="s">
        <v>895</v>
      </c>
    </row>
    <row r="28" spans="2:9" x14ac:dyDescent="0.25">
      <c r="B28" t="s">
        <v>928</v>
      </c>
      <c r="I28" t="s">
        <v>890</v>
      </c>
    </row>
    <row r="29" spans="2:9" x14ac:dyDescent="0.25">
      <c r="B29" t="s">
        <v>929</v>
      </c>
      <c r="I29" t="s">
        <v>902</v>
      </c>
    </row>
    <row r="30" spans="2:9" x14ac:dyDescent="0.25">
      <c r="B30" t="s">
        <v>930</v>
      </c>
      <c r="I30" t="s">
        <v>895</v>
      </c>
    </row>
    <row r="31" spans="2:9" x14ac:dyDescent="0.25">
      <c r="B31" t="s">
        <v>931</v>
      </c>
      <c r="I31" t="s">
        <v>1145</v>
      </c>
    </row>
    <row r="32" spans="2:9" x14ac:dyDescent="0.25">
      <c r="B32" t="s">
        <v>932</v>
      </c>
      <c r="I32" t="s">
        <v>893</v>
      </c>
    </row>
    <row r="33" spans="2:9" x14ac:dyDescent="0.25">
      <c r="B33" t="s">
        <v>933</v>
      </c>
      <c r="I33" t="s">
        <v>893</v>
      </c>
    </row>
    <row r="34" spans="2:9" x14ac:dyDescent="0.25">
      <c r="B34" t="s">
        <v>934</v>
      </c>
      <c r="I34" t="s">
        <v>893</v>
      </c>
    </row>
    <row r="35" spans="2:9" x14ac:dyDescent="0.25">
      <c r="B35" t="s">
        <v>935</v>
      </c>
      <c r="I35" t="s">
        <v>893</v>
      </c>
    </row>
    <row r="36" spans="2:9" x14ac:dyDescent="0.25">
      <c r="B36" t="s">
        <v>936</v>
      </c>
      <c r="I36" t="s">
        <v>893</v>
      </c>
    </row>
    <row r="37" spans="2:9" x14ac:dyDescent="0.25">
      <c r="B37" t="s">
        <v>937</v>
      </c>
      <c r="I37" t="s">
        <v>893</v>
      </c>
    </row>
    <row r="38" spans="2:9" x14ac:dyDescent="0.25">
      <c r="B38" t="s">
        <v>938</v>
      </c>
      <c r="I38" t="s">
        <v>900</v>
      </c>
    </row>
    <row r="39" spans="2:9" x14ac:dyDescent="0.25">
      <c r="B39" t="s">
        <v>939</v>
      </c>
      <c r="I39" t="s">
        <v>890</v>
      </c>
    </row>
    <row r="40" spans="2:9" x14ac:dyDescent="0.25">
      <c r="B40" t="s">
        <v>940</v>
      </c>
      <c r="I40" t="s">
        <v>1146</v>
      </c>
    </row>
    <row r="41" spans="2:9" x14ac:dyDescent="0.25">
      <c r="B41" t="s">
        <v>941</v>
      </c>
      <c r="I41" t="s">
        <v>893</v>
      </c>
    </row>
    <row r="42" spans="2:9" x14ac:dyDescent="0.25">
      <c r="B42" t="s">
        <v>942</v>
      </c>
      <c r="I42" t="s">
        <v>891</v>
      </c>
    </row>
    <row r="43" spans="2:9" x14ac:dyDescent="0.25">
      <c r="B43" t="s">
        <v>943</v>
      </c>
      <c r="I43" t="s">
        <v>893</v>
      </c>
    </row>
    <row r="44" spans="2:9" x14ac:dyDescent="0.25">
      <c r="B44" t="s">
        <v>944</v>
      </c>
      <c r="I44" t="s">
        <v>893</v>
      </c>
    </row>
    <row r="45" spans="2:9" x14ac:dyDescent="0.25">
      <c r="B45" t="s">
        <v>945</v>
      </c>
      <c r="I45" t="s">
        <v>893</v>
      </c>
    </row>
    <row r="46" spans="2:9" x14ac:dyDescent="0.25">
      <c r="B46" t="s">
        <v>946</v>
      </c>
      <c r="I46" t="s">
        <v>893</v>
      </c>
    </row>
    <row r="47" spans="2:9" x14ac:dyDescent="0.25">
      <c r="B47" t="s">
        <v>947</v>
      </c>
    </row>
    <row r="48" spans="2:9" x14ac:dyDescent="0.25">
      <c r="B48" t="s">
        <v>948</v>
      </c>
      <c r="I48" t="s">
        <v>900</v>
      </c>
    </row>
    <row r="49" spans="2:9" x14ac:dyDescent="0.25">
      <c r="B49" t="s">
        <v>949</v>
      </c>
      <c r="I49" t="s">
        <v>890</v>
      </c>
    </row>
    <row r="50" spans="2:9" x14ac:dyDescent="0.25">
      <c r="B50" t="s">
        <v>950</v>
      </c>
      <c r="I50" t="s">
        <v>891</v>
      </c>
    </row>
    <row r="51" spans="2:9" x14ac:dyDescent="0.25">
      <c r="B51" t="s">
        <v>951</v>
      </c>
      <c r="I51" t="s">
        <v>893</v>
      </c>
    </row>
    <row r="52" spans="2:9" x14ac:dyDescent="0.25">
      <c r="B52" t="s">
        <v>952</v>
      </c>
      <c r="I52" t="s">
        <v>893</v>
      </c>
    </row>
    <row r="53" spans="2:9" x14ac:dyDescent="0.25">
      <c r="B53" t="s">
        <v>953</v>
      </c>
      <c r="I53" t="s">
        <v>1145</v>
      </c>
    </row>
    <row r="54" spans="2:9" x14ac:dyDescent="0.25">
      <c r="B54" t="s">
        <v>954</v>
      </c>
      <c r="I54" t="s">
        <v>893</v>
      </c>
    </row>
    <row r="55" spans="2:9" x14ac:dyDescent="0.25">
      <c r="B55" t="s">
        <v>955</v>
      </c>
      <c r="I55" t="s">
        <v>893</v>
      </c>
    </row>
    <row r="56" spans="2:9" x14ac:dyDescent="0.25">
      <c r="B56" t="s">
        <v>956</v>
      </c>
      <c r="I56" t="s">
        <v>893</v>
      </c>
    </row>
    <row r="57" spans="2:9" x14ac:dyDescent="0.25">
      <c r="B57" t="s">
        <v>957</v>
      </c>
    </row>
    <row r="58" spans="2:9" x14ac:dyDescent="0.25">
      <c r="B58" t="s">
        <v>958</v>
      </c>
    </row>
    <row r="59" spans="2:9" x14ac:dyDescent="0.25">
      <c r="B59" t="s">
        <v>959</v>
      </c>
      <c r="I59" t="s">
        <v>1146</v>
      </c>
    </row>
    <row r="60" spans="2:9" x14ac:dyDescent="0.25">
      <c r="B60" t="s">
        <v>960</v>
      </c>
      <c r="I60" t="s">
        <v>893</v>
      </c>
    </row>
    <row r="61" spans="2:9" x14ac:dyDescent="0.25">
      <c r="B61" t="s">
        <v>961</v>
      </c>
      <c r="I61" t="s">
        <v>891</v>
      </c>
    </row>
    <row r="62" spans="2:9" x14ac:dyDescent="0.25">
      <c r="B62" t="s">
        <v>962</v>
      </c>
      <c r="I62" t="s">
        <v>893</v>
      </c>
    </row>
    <row r="63" spans="2:9" x14ac:dyDescent="0.25">
      <c r="B63" t="s">
        <v>963</v>
      </c>
      <c r="I63" t="s">
        <v>893</v>
      </c>
    </row>
    <row r="64" spans="2:9" x14ac:dyDescent="0.25">
      <c r="B64" t="s">
        <v>964</v>
      </c>
      <c r="I64" t="s">
        <v>893</v>
      </c>
    </row>
    <row r="65" spans="2:9" x14ac:dyDescent="0.25">
      <c r="B65" t="s">
        <v>965</v>
      </c>
      <c r="I65" t="s">
        <v>893</v>
      </c>
    </row>
    <row r="66" spans="2:9" x14ac:dyDescent="0.25">
      <c r="B66" t="s">
        <v>966</v>
      </c>
      <c r="I66" t="s">
        <v>893</v>
      </c>
    </row>
    <row r="67" spans="2:9" x14ac:dyDescent="0.25">
      <c r="B67" t="s">
        <v>967</v>
      </c>
      <c r="I67" t="s">
        <v>893</v>
      </c>
    </row>
    <row r="68" spans="2:9" x14ac:dyDescent="0.25">
      <c r="B68" t="s">
        <v>968</v>
      </c>
      <c r="I68" t="s">
        <v>900</v>
      </c>
    </row>
    <row r="69" spans="2:9" x14ac:dyDescent="0.25">
      <c r="B69" t="s">
        <v>969</v>
      </c>
      <c r="I69" t="s">
        <v>890</v>
      </c>
    </row>
    <row r="70" spans="2:9" x14ac:dyDescent="0.25">
      <c r="B70" t="s">
        <v>970</v>
      </c>
      <c r="I70" t="s">
        <v>900</v>
      </c>
    </row>
    <row r="71" spans="2:9" x14ac:dyDescent="0.25">
      <c r="B71" t="s">
        <v>971</v>
      </c>
      <c r="I71" t="s">
        <v>1147</v>
      </c>
    </row>
    <row r="72" spans="2:9" x14ac:dyDescent="0.25">
      <c r="B72" t="s">
        <v>972</v>
      </c>
    </row>
    <row r="73" spans="2:9" x14ac:dyDescent="0.25">
      <c r="B73" t="s">
        <v>973</v>
      </c>
      <c r="I73" t="s">
        <v>894</v>
      </c>
    </row>
    <row r="74" spans="2:9" x14ac:dyDescent="0.25">
      <c r="B74" t="s">
        <v>972</v>
      </c>
    </row>
    <row r="75" spans="2:9" x14ac:dyDescent="0.25">
      <c r="B75" t="s">
        <v>974</v>
      </c>
      <c r="I75" t="s">
        <v>894</v>
      </c>
    </row>
    <row r="76" spans="2:9" x14ac:dyDescent="0.25">
      <c r="B76" t="s">
        <v>975</v>
      </c>
      <c r="I76" t="s">
        <v>1145</v>
      </c>
    </row>
    <row r="77" spans="2:9" x14ac:dyDescent="0.25">
      <c r="B77" t="s">
        <v>976</v>
      </c>
      <c r="I77" t="s">
        <v>893</v>
      </c>
    </row>
    <row r="78" spans="2:9" x14ac:dyDescent="0.25">
      <c r="B78" t="s">
        <v>977</v>
      </c>
      <c r="I78" t="s">
        <v>893</v>
      </c>
    </row>
    <row r="79" spans="2:9" x14ac:dyDescent="0.25">
      <c r="B79" t="s">
        <v>978</v>
      </c>
      <c r="I79" t="s">
        <v>1145</v>
      </c>
    </row>
    <row r="80" spans="2:9" x14ac:dyDescent="0.25">
      <c r="B80" t="s">
        <v>979</v>
      </c>
      <c r="I80" t="s">
        <v>893</v>
      </c>
    </row>
    <row r="81" spans="2:9" x14ac:dyDescent="0.25">
      <c r="B81" t="s">
        <v>980</v>
      </c>
      <c r="I81" t="s">
        <v>1147</v>
      </c>
    </row>
    <row r="82" spans="2:9" x14ac:dyDescent="0.25">
      <c r="B82" t="s">
        <v>972</v>
      </c>
    </row>
    <row r="83" spans="2:9" x14ac:dyDescent="0.25">
      <c r="B83" t="s">
        <v>981</v>
      </c>
      <c r="I83" t="s">
        <v>1148</v>
      </c>
    </row>
    <row r="84" spans="2:9" x14ac:dyDescent="0.25">
      <c r="B84" t="s">
        <v>982</v>
      </c>
      <c r="I84" t="s">
        <v>1149</v>
      </c>
    </row>
    <row r="85" spans="2:9" x14ac:dyDescent="0.25">
      <c r="B85" t="s">
        <v>983</v>
      </c>
      <c r="I85" t="s">
        <v>893</v>
      </c>
    </row>
    <row r="86" spans="2:9" x14ac:dyDescent="0.25">
      <c r="B86" t="s">
        <v>984</v>
      </c>
      <c r="I86" t="s">
        <v>1145</v>
      </c>
    </row>
    <row r="87" spans="2:9" x14ac:dyDescent="0.25">
      <c r="B87" t="s">
        <v>985</v>
      </c>
      <c r="I87" t="s">
        <v>902</v>
      </c>
    </row>
    <row r="88" spans="2:9" x14ac:dyDescent="0.25">
      <c r="B88" t="s">
        <v>986</v>
      </c>
      <c r="I88" t="s">
        <v>903</v>
      </c>
    </row>
    <row r="89" spans="2:9" x14ac:dyDescent="0.25">
      <c r="B89" t="s">
        <v>987</v>
      </c>
      <c r="I89" t="s">
        <v>1145</v>
      </c>
    </row>
    <row r="90" spans="2:9" x14ac:dyDescent="0.25">
      <c r="B90" t="s">
        <v>988</v>
      </c>
      <c r="I90" t="s">
        <v>893</v>
      </c>
    </row>
    <row r="91" spans="2:9" x14ac:dyDescent="0.25">
      <c r="B91" t="s">
        <v>989</v>
      </c>
      <c r="I91" t="s">
        <v>1145</v>
      </c>
    </row>
    <row r="92" spans="2:9" x14ac:dyDescent="0.25">
      <c r="B92" t="s">
        <v>990</v>
      </c>
      <c r="I92" t="s">
        <v>1145</v>
      </c>
    </row>
    <row r="93" spans="2:9" x14ac:dyDescent="0.25">
      <c r="B93" t="s">
        <v>991</v>
      </c>
      <c r="I93" t="s">
        <v>892</v>
      </c>
    </row>
    <row r="94" spans="2:9" x14ac:dyDescent="0.25">
      <c r="B94" t="s">
        <v>992</v>
      </c>
      <c r="I94" t="s">
        <v>1145</v>
      </c>
    </row>
    <row r="95" spans="2:9" x14ac:dyDescent="0.25">
      <c r="B95" t="s">
        <v>993</v>
      </c>
      <c r="I95" t="s">
        <v>893</v>
      </c>
    </row>
    <row r="96" spans="2:9" x14ac:dyDescent="0.25">
      <c r="B96" t="s">
        <v>994</v>
      </c>
      <c r="I96" t="s">
        <v>893</v>
      </c>
    </row>
    <row r="97" spans="2:9" x14ac:dyDescent="0.25">
      <c r="B97" t="s">
        <v>995</v>
      </c>
      <c r="I97" t="s">
        <v>1145</v>
      </c>
    </row>
    <row r="98" spans="2:9" x14ac:dyDescent="0.25">
      <c r="B98" t="s">
        <v>996</v>
      </c>
      <c r="I98" t="s">
        <v>892</v>
      </c>
    </row>
    <row r="99" spans="2:9" x14ac:dyDescent="0.25">
      <c r="B99" t="s">
        <v>997</v>
      </c>
      <c r="I99" t="s">
        <v>900</v>
      </c>
    </row>
    <row r="100" spans="2:9" x14ac:dyDescent="0.25">
      <c r="B100" t="s">
        <v>998</v>
      </c>
      <c r="I100" t="s">
        <v>900</v>
      </c>
    </row>
    <row r="101" spans="2:9" x14ac:dyDescent="0.25">
      <c r="B101" t="s">
        <v>972</v>
      </c>
    </row>
    <row r="102" spans="2:9" x14ac:dyDescent="0.25">
      <c r="B102" t="s">
        <v>999</v>
      </c>
      <c r="I102" t="s">
        <v>894</v>
      </c>
    </row>
    <row r="103" spans="2:9" x14ac:dyDescent="0.25">
      <c r="B103" t="s">
        <v>1000</v>
      </c>
      <c r="I103" t="s">
        <v>892</v>
      </c>
    </row>
    <row r="104" spans="2:9" x14ac:dyDescent="0.25">
      <c r="B104" t="s">
        <v>1001</v>
      </c>
      <c r="I104" t="s">
        <v>892</v>
      </c>
    </row>
    <row r="105" spans="2:9" x14ac:dyDescent="0.25">
      <c r="B105" t="s">
        <v>972</v>
      </c>
    </row>
    <row r="106" spans="2:9" x14ac:dyDescent="0.25">
      <c r="B106" t="s">
        <v>1002</v>
      </c>
      <c r="I106" t="s">
        <v>894</v>
      </c>
    </row>
    <row r="107" spans="2:9" x14ac:dyDescent="0.25">
      <c r="B107" t="s">
        <v>972</v>
      </c>
    </row>
    <row r="108" spans="2:9" x14ac:dyDescent="0.25">
      <c r="B108" t="s">
        <v>1003</v>
      </c>
      <c r="I108" t="s">
        <v>894</v>
      </c>
    </row>
    <row r="109" spans="2:9" x14ac:dyDescent="0.25">
      <c r="B109" t="s">
        <v>1004</v>
      </c>
      <c r="I109" t="s">
        <v>1150</v>
      </c>
    </row>
    <row r="110" spans="2:9" x14ac:dyDescent="0.25">
      <c r="B110" t="s">
        <v>1005</v>
      </c>
      <c r="I110" t="s">
        <v>901</v>
      </c>
    </row>
    <row r="111" spans="2:9" x14ac:dyDescent="0.25">
      <c r="B111" t="s">
        <v>1006</v>
      </c>
      <c r="I111" t="s">
        <v>901</v>
      </c>
    </row>
    <row r="112" spans="2:9" x14ac:dyDescent="0.25">
      <c r="B112" t="s">
        <v>1007</v>
      </c>
      <c r="I112" t="s">
        <v>901</v>
      </c>
    </row>
    <row r="113" spans="2:9" x14ac:dyDescent="0.25">
      <c r="B113" t="s">
        <v>1008</v>
      </c>
      <c r="I113" t="s">
        <v>901</v>
      </c>
    </row>
    <row r="114" spans="2:9" x14ac:dyDescent="0.25">
      <c r="B114" t="s">
        <v>1009</v>
      </c>
      <c r="I114" t="s">
        <v>892</v>
      </c>
    </row>
    <row r="115" spans="2:9" x14ac:dyDescent="0.25">
      <c r="B115" t="s">
        <v>1010</v>
      </c>
      <c r="I115" t="s">
        <v>901</v>
      </c>
    </row>
    <row r="116" spans="2:9" x14ac:dyDescent="0.25">
      <c r="B116" t="s">
        <v>1011</v>
      </c>
      <c r="I116" t="s">
        <v>900</v>
      </c>
    </row>
    <row r="117" spans="2:9" x14ac:dyDescent="0.25">
      <c r="B117" t="s">
        <v>1012</v>
      </c>
      <c r="I117" t="s">
        <v>892</v>
      </c>
    </row>
    <row r="118" spans="2:9" x14ac:dyDescent="0.25">
      <c r="B118" t="s">
        <v>1013</v>
      </c>
      <c r="I118" t="s">
        <v>1145</v>
      </c>
    </row>
    <row r="119" spans="2:9" x14ac:dyDescent="0.25">
      <c r="B119" t="s">
        <v>1014</v>
      </c>
      <c r="I119" t="s">
        <v>890</v>
      </c>
    </row>
    <row r="120" spans="2:9" x14ac:dyDescent="0.25">
      <c r="B120" t="s">
        <v>972</v>
      </c>
    </row>
    <row r="121" spans="2:9" x14ac:dyDescent="0.25">
      <c r="B121" t="s">
        <v>1015</v>
      </c>
      <c r="I121" t="s">
        <v>894</v>
      </c>
    </row>
    <row r="122" spans="2:9" x14ac:dyDescent="0.25">
      <c r="B122" t="s">
        <v>1016</v>
      </c>
      <c r="I122" t="s">
        <v>893</v>
      </c>
    </row>
    <row r="123" spans="2:9" x14ac:dyDescent="0.25">
      <c r="B123" t="s">
        <v>1017</v>
      </c>
      <c r="I123" t="s">
        <v>893</v>
      </c>
    </row>
    <row r="124" spans="2:9" x14ac:dyDescent="0.25">
      <c r="B124" t="s">
        <v>1018</v>
      </c>
      <c r="I124" t="s">
        <v>892</v>
      </c>
    </row>
    <row r="125" spans="2:9" x14ac:dyDescent="0.25">
      <c r="B125" t="s">
        <v>1019</v>
      </c>
      <c r="I125" t="s">
        <v>1145</v>
      </c>
    </row>
    <row r="126" spans="2:9" x14ac:dyDescent="0.25">
      <c r="B126" t="s">
        <v>1020</v>
      </c>
      <c r="I126" t="s">
        <v>892</v>
      </c>
    </row>
    <row r="127" spans="2:9" x14ac:dyDescent="0.25">
      <c r="B127" t="s">
        <v>1021</v>
      </c>
      <c r="I127" t="s">
        <v>1145</v>
      </c>
    </row>
    <row r="128" spans="2:9" x14ac:dyDescent="0.25">
      <c r="B128" t="s">
        <v>1022</v>
      </c>
      <c r="I128" t="s">
        <v>1145</v>
      </c>
    </row>
    <row r="129" spans="2:9" x14ac:dyDescent="0.25">
      <c r="B129" t="s">
        <v>1023</v>
      </c>
      <c r="I129" t="s">
        <v>893</v>
      </c>
    </row>
    <row r="130" spans="2:9" x14ac:dyDescent="0.25">
      <c r="B130" t="s">
        <v>1024</v>
      </c>
      <c r="I130" t="s">
        <v>893</v>
      </c>
    </row>
    <row r="131" spans="2:9" x14ac:dyDescent="0.25">
      <c r="B131" t="s">
        <v>1025</v>
      </c>
      <c r="I131" t="s">
        <v>893</v>
      </c>
    </row>
    <row r="132" spans="2:9" x14ac:dyDescent="0.25">
      <c r="B132" t="s">
        <v>1026</v>
      </c>
      <c r="I132" t="s">
        <v>893</v>
      </c>
    </row>
    <row r="133" spans="2:9" x14ac:dyDescent="0.25">
      <c r="B133" t="s">
        <v>1027</v>
      </c>
      <c r="I133" t="s">
        <v>893</v>
      </c>
    </row>
    <row r="134" spans="2:9" x14ac:dyDescent="0.25">
      <c r="B134" t="s">
        <v>1028</v>
      </c>
      <c r="I134" t="s">
        <v>893</v>
      </c>
    </row>
    <row r="135" spans="2:9" x14ac:dyDescent="0.25">
      <c r="B135" t="s">
        <v>1029</v>
      </c>
      <c r="I135" t="s">
        <v>893</v>
      </c>
    </row>
    <row r="136" spans="2:9" x14ac:dyDescent="0.25">
      <c r="B136" t="s">
        <v>1030</v>
      </c>
      <c r="I136" t="s">
        <v>893</v>
      </c>
    </row>
    <row r="137" spans="2:9" x14ac:dyDescent="0.25">
      <c r="B137" t="s">
        <v>1031</v>
      </c>
      <c r="I137" t="s">
        <v>893</v>
      </c>
    </row>
    <row r="138" spans="2:9" x14ac:dyDescent="0.25">
      <c r="B138" t="s">
        <v>1032</v>
      </c>
      <c r="I138" t="s">
        <v>893</v>
      </c>
    </row>
    <row r="139" spans="2:9" x14ac:dyDescent="0.25">
      <c r="B139" t="s">
        <v>1033</v>
      </c>
      <c r="I139" t="s">
        <v>893</v>
      </c>
    </row>
    <row r="140" spans="2:9" x14ac:dyDescent="0.25">
      <c r="B140" t="s">
        <v>1034</v>
      </c>
      <c r="I140" t="s">
        <v>893</v>
      </c>
    </row>
    <row r="141" spans="2:9" x14ac:dyDescent="0.25">
      <c r="B141" t="s">
        <v>1035</v>
      </c>
      <c r="I141" t="s">
        <v>893</v>
      </c>
    </row>
    <row r="142" spans="2:9" x14ac:dyDescent="0.25">
      <c r="B142" t="s">
        <v>1036</v>
      </c>
      <c r="I142" t="s">
        <v>893</v>
      </c>
    </row>
    <row r="143" spans="2:9" x14ac:dyDescent="0.25">
      <c r="B143" t="s">
        <v>1037</v>
      </c>
      <c r="I143" t="s">
        <v>903</v>
      </c>
    </row>
    <row r="144" spans="2:9" x14ac:dyDescent="0.25">
      <c r="B144" t="s">
        <v>1038</v>
      </c>
    </row>
    <row r="145" spans="2:9" x14ac:dyDescent="0.25">
      <c r="B145" t="s">
        <v>1039</v>
      </c>
      <c r="I145" t="s">
        <v>1151</v>
      </c>
    </row>
    <row r="146" spans="2:9" x14ac:dyDescent="0.25">
      <c r="B146" t="s">
        <v>1040</v>
      </c>
      <c r="I146" t="s">
        <v>893</v>
      </c>
    </row>
    <row r="147" spans="2:9" x14ac:dyDescent="0.25">
      <c r="B147" t="s">
        <v>1041</v>
      </c>
      <c r="I147" t="s">
        <v>895</v>
      </c>
    </row>
    <row r="148" spans="2:9" x14ac:dyDescent="0.25">
      <c r="B148" t="s">
        <v>1042</v>
      </c>
      <c r="I148" t="s">
        <v>893</v>
      </c>
    </row>
    <row r="149" spans="2:9" x14ac:dyDescent="0.25">
      <c r="B149" t="s">
        <v>1043</v>
      </c>
      <c r="I149" t="s">
        <v>893</v>
      </c>
    </row>
    <row r="150" spans="2:9" x14ac:dyDescent="0.25">
      <c r="B150" t="s">
        <v>1044</v>
      </c>
      <c r="I150" t="s">
        <v>893</v>
      </c>
    </row>
    <row r="151" spans="2:9" x14ac:dyDescent="0.25">
      <c r="B151" t="s">
        <v>1045</v>
      </c>
      <c r="I151" t="s">
        <v>1145</v>
      </c>
    </row>
    <row r="152" spans="2:9" x14ac:dyDescent="0.25">
      <c r="B152" t="s">
        <v>1046</v>
      </c>
      <c r="I152" t="s">
        <v>893</v>
      </c>
    </row>
    <row r="153" spans="2:9" x14ac:dyDescent="0.25">
      <c r="B153" t="s">
        <v>1047</v>
      </c>
      <c r="I153" t="s">
        <v>893</v>
      </c>
    </row>
    <row r="154" spans="2:9" x14ac:dyDescent="0.25">
      <c r="B154" t="s">
        <v>1048</v>
      </c>
      <c r="I154" t="s">
        <v>893</v>
      </c>
    </row>
    <row r="155" spans="2:9" x14ac:dyDescent="0.25">
      <c r="B155" t="s">
        <v>1049</v>
      </c>
      <c r="I155" t="s">
        <v>893</v>
      </c>
    </row>
    <row r="156" spans="2:9" x14ac:dyDescent="0.25">
      <c r="B156" t="s">
        <v>1050</v>
      </c>
      <c r="I156" t="s">
        <v>893</v>
      </c>
    </row>
    <row r="157" spans="2:9" x14ac:dyDescent="0.25">
      <c r="B157" t="s">
        <v>1051</v>
      </c>
      <c r="I157" t="s">
        <v>893</v>
      </c>
    </row>
    <row r="158" spans="2:9" x14ac:dyDescent="0.25">
      <c r="B158" t="s">
        <v>1052</v>
      </c>
      <c r="I158" t="s">
        <v>893</v>
      </c>
    </row>
    <row r="159" spans="2:9" x14ac:dyDescent="0.25">
      <c r="B159" t="s">
        <v>1053</v>
      </c>
      <c r="I159" t="s">
        <v>901</v>
      </c>
    </row>
    <row r="160" spans="2:9" x14ac:dyDescent="0.25">
      <c r="B160" t="s">
        <v>1054</v>
      </c>
      <c r="I160" t="s">
        <v>903</v>
      </c>
    </row>
    <row r="161" spans="2:9" x14ac:dyDescent="0.25">
      <c r="B161" t="s">
        <v>1055</v>
      </c>
      <c r="I161" t="s">
        <v>1147</v>
      </c>
    </row>
    <row r="162" spans="2:9" x14ac:dyDescent="0.25">
      <c r="B162" t="s">
        <v>1056</v>
      </c>
      <c r="I162" t="s">
        <v>891</v>
      </c>
    </row>
    <row r="163" spans="2:9" x14ac:dyDescent="0.25">
      <c r="B163" t="s">
        <v>1057</v>
      </c>
      <c r="I163" t="s">
        <v>893</v>
      </c>
    </row>
    <row r="164" spans="2:9" x14ac:dyDescent="0.25">
      <c r="B164" t="s">
        <v>1058</v>
      </c>
      <c r="I164" t="s">
        <v>1152</v>
      </c>
    </row>
    <row r="165" spans="2:9" x14ac:dyDescent="0.25">
      <c r="B165" t="s">
        <v>1059</v>
      </c>
      <c r="I165" t="s">
        <v>903</v>
      </c>
    </row>
    <row r="166" spans="2:9" x14ac:dyDescent="0.25">
      <c r="B166" t="s">
        <v>1038</v>
      </c>
    </row>
    <row r="167" spans="2:9" x14ac:dyDescent="0.25">
      <c r="B167" t="s">
        <v>1060</v>
      </c>
      <c r="I167" t="s">
        <v>1151</v>
      </c>
    </row>
    <row r="168" spans="2:9" x14ac:dyDescent="0.25">
      <c r="B168" t="s">
        <v>1061</v>
      </c>
      <c r="I168" t="s">
        <v>1143</v>
      </c>
    </row>
    <row r="169" spans="2:9" x14ac:dyDescent="0.25">
      <c r="B169" t="s">
        <v>1062</v>
      </c>
    </row>
    <row r="170" spans="2:9" x14ac:dyDescent="0.25">
      <c r="B170" t="s">
        <v>1063</v>
      </c>
      <c r="I170" t="s">
        <v>897</v>
      </c>
    </row>
    <row r="171" spans="2:9" x14ac:dyDescent="0.25">
      <c r="B171" t="s">
        <v>1062</v>
      </c>
    </row>
    <row r="172" spans="2:9" x14ac:dyDescent="0.25">
      <c r="B172" t="s">
        <v>1064</v>
      </c>
      <c r="I172" t="s">
        <v>897</v>
      </c>
    </row>
    <row r="173" spans="2:9" x14ac:dyDescent="0.25">
      <c r="B173" t="s">
        <v>1065</v>
      </c>
      <c r="I173" t="s">
        <v>890</v>
      </c>
    </row>
    <row r="174" spans="2:9" x14ac:dyDescent="0.25">
      <c r="B174" t="s">
        <v>1062</v>
      </c>
    </row>
    <row r="175" spans="2:9" x14ac:dyDescent="0.25">
      <c r="B175" t="s">
        <v>1066</v>
      </c>
      <c r="I175" t="s">
        <v>897</v>
      </c>
    </row>
    <row r="176" spans="2:9" x14ac:dyDescent="0.25">
      <c r="B176" t="s">
        <v>1067</v>
      </c>
      <c r="I176" t="s">
        <v>891</v>
      </c>
    </row>
    <row r="177" spans="2:9" x14ac:dyDescent="0.25">
      <c r="B177" t="s">
        <v>1068</v>
      </c>
    </row>
    <row r="178" spans="2:9" x14ac:dyDescent="0.25">
      <c r="B178" t="s">
        <v>1069</v>
      </c>
      <c r="I178" t="s">
        <v>894</v>
      </c>
    </row>
    <row r="179" spans="2:9" x14ac:dyDescent="0.25">
      <c r="B179" t="s">
        <v>1068</v>
      </c>
    </row>
    <row r="180" spans="2:9" x14ac:dyDescent="0.25">
      <c r="B180" t="s">
        <v>1070</v>
      </c>
      <c r="I180" t="s">
        <v>894</v>
      </c>
    </row>
    <row r="181" spans="2:9" x14ac:dyDescent="0.25">
      <c r="B181" t="s">
        <v>1071</v>
      </c>
      <c r="I181" t="s">
        <v>1153</v>
      </c>
    </row>
    <row r="182" spans="2:9" x14ac:dyDescent="0.25">
      <c r="B182" t="s">
        <v>972</v>
      </c>
    </row>
    <row r="183" spans="2:9" x14ac:dyDescent="0.25">
      <c r="B183" t="s">
        <v>1072</v>
      </c>
      <c r="I183" t="s">
        <v>894</v>
      </c>
    </row>
    <row r="184" spans="2:9" x14ac:dyDescent="0.25">
      <c r="B184" t="s">
        <v>1068</v>
      </c>
    </row>
    <row r="185" spans="2:9" x14ac:dyDescent="0.25">
      <c r="B185" t="s">
        <v>1073</v>
      </c>
      <c r="I185" t="s">
        <v>894</v>
      </c>
    </row>
    <row r="186" spans="2:9" x14ac:dyDescent="0.25">
      <c r="B186" t="s">
        <v>1068</v>
      </c>
    </row>
    <row r="187" spans="2:9" x14ac:dyDescent="0.25">
      <c r="B187" t="s">
        <v>1074</v>
      </c>
      <c r="I187" t="s">
        <v>894</v>
      </c>
    </row>
    <row r="188" spans="2:9" x14ac:dyDescent="0.25">
      <c r="B188" t="s">
        <v>1068</v>
      </c>
    </row>
    <row r="189" spans="2:9" x14ac:dyDescent="0.25">
      <c r="B189" t="s">
        <v>1075</v>
      </c>
      <c r="I189" t="s">
        <v>894</v>
      </c>
    </row>
    <row r="190" spans="2:9" x14ac:dyDescent="0.25">
      <c r="B190" t="s">
        <v>1068</v>
      </c>
    </row>
    <row r="191" spans="2:9" x14ac:dyDescent="0.25">
      <c r="B191" t="s">
        <v>1076</v>
      </c>
      <c r="I191" t="s">
        <v>894</v>
      </c>
    </row>
    <row r="192" spans="2:9" x14ac:dyDescent="0.25">
      <c r="B192" t="s">
        <v>1068</v>
      </c>
    </row>
    <row r="193" spans="2:9" x14ac:dyDescent="0.25">
      <c r="B193" t="s">
        <v>1077</v>
      </c>
      <c r="I193" t="s">
        <v>894</v>
      </c>
    </row>
    <row r="194" spans="2:9" x14ac:dyDescent="0.25">
      <c r="B194" t="s">
        <v>1068</v>
      </c>
    </row>
    <row r="195" spans="2:9" x14ac:dyDescent="0.25">
      <c r="B195" t="s">
        <v>1078</v>
      </c>
      <c r="I195" t="s">
        <v>894</v>
      </c>
    </row>
    <row r="196" spans="2:9" x14ac:dyDescent="0.25">
      <c r="B196" t="s">
        <v>1079</v>
      </c>
      <c r="I196" t="s">
        <v>1153</v>
      </c>
    </row>
    <row r="197" spans="2:9" x14ac:dyDescent="0.25">
      <c r="B197" t="s">
        <v>1080</v>
      </c>
      <c r="I197" t="s">
        <v>1154</v>
      </c>
    </row>
    <row r="198" spans="2:9" x14ac:dyDescent="0.25">
      <c r="B198" t="s">
        <v>1081</v>
      </c>
      <c r="I198" t="s">
        <v>900</v>
      </c>
    </row>
    <row r="199" spans="2:9" x14ac:dyDescent="0.25">
      <c r="B199" t="s">
        <v>1068</v>
      </c>
    </row>
    <row r="200" spans="2:9" x14ac:dyDescent="0.25">
      <c r="B200" t="s">
        <v>1082</v>
      </c>
      <c r="I200" t="s">
        <v>894</v>
      </c>
    </row>
    <row r="201" spans="2:9" x14ac:dyDescent="0.25">
      <c r="B201" t="s">
        <v>1068</v>
      </c>
    </row>
    <row r="202" spans="2:9" x14ac:dyDescent="0.25">
      <c r="B202" t="s">
        <v>1083</v>
      </c>
      <c r="I202" t="s">
        <v>894</v>
      </c>
    </row>
    <row r="203" spans="2:9" x14ac:dyDescent="0.25">
      <c r="B203" t="s">
        <v>1068</v>
      </c>
    </row>
    <row r="204" spans="2:9" x14ac:dyDescent="0.25">
      <c r="B204" t="s">
        <v>1084</v>
      </c>
      <c r="I204" t="s">
        <v>894</v>
      </c>
    </row>
    <row r="205" spans="2:9" x14ac:dyDescent="0.25">
      <c r="B205" t="s">
        <v>1068</v>
      </c>
    </row>
    <row r="206" spans="2:9" x14ac:dyDescent="0.25">
      <c r="B206" t="s">
        <v>1085</v>
      </c>
      <c r="I206" t="s">
        <v>894</v>
      </c>
    </row>
    <row r="207" spans="2:9" x14ac:dyDescent="0.25">
      <c r="B207" t="s">
        <v>1086</v>
      </c>
      <c r="I207" t="s">
        <v>893</v>
      </c>
    </row>
    <row r="208" spans="2:9" x14ac:dyDescent="0.25">
      <c r="B208" t="s">
        <v>1087</v>
      </c>
      <c r="I208" t="s">
        <v>893</v>
      </c>
    </row>
    <row r="209" spans="2:9" x14ac:dyDescent="0.25">
      <c r="B209" t="s">
        <v>1088</v>
      </c>
      <c r="I209" t="s">
        <v>893</v>
      </c>
    </row>
    <row r="210" spans="2:9" x14ac:dyDescent="0.25">
      <c r="B210" t="s">
        <v>1089</v>
      </c>
      <c r="I210" t="s">
        <v>893</v>
      </c>
    </row>
    <row r="211" spans="2:9" x14ac:dyDescent="0.25">
      <c r="B211" t="s">
        <v>1090</v>
      </c>
      <c r="I211" t="s">
        <v>893</v>
      </c>
    </row>
    <row r="212" spans="2:9" x14ac:dyDescent="0.25">
      <c r="B212" t="s">
        <v>1091</v>
      </c>
      <c r="I212" t="s">
        <v>893</v>
      </c>
    </row>
    <row r="213" spans="2:9" x14ac:dyDescent="0.25">
      <c r="B213" t="s">
        <v>1092</v>
      </c>
      <c r="I213" t="s">
        <v>893</v>
      </c>
    </row>
    <row r="214" spans="2:9" x14ac:dyDescent="0.25">
      <c r="B214" t="s">
        <v>1093</v>
      </c>
      <c r="I214" t="s">
        <v>893</v>
      </c>
    </row>
    <row r="215" spans="2:9" x14ac:dyDescent="0.25">
      <c r="B215" t="s">
        <v>1094</v>
      </c>
      <c r="I215" t="s">
        <v>893</v>
      </c>
    </row>
    <row r="216" spans="2:9" x14ac:dyDescent="0.25">
      <c r="B216" t="s">
        <v>1095</v>
      </c>
      <c r="I216" t="s">
        <v>893</v>
      </c>
    </row>
    <row r="217" spans="2:9" x14ac:dyDescent="0.25">
      <c r="B217" t="s">
        <v>1096</v>
      </c>
      <c r="I217" t="s">
        <v>898</v>
      </c>
    </row>
    <row r="218" spans="2:9" x14ac:dyDescent="0.25">
      <c r="B218" t="s">
        <v>1097</v>
      </c>
      <c r="I218" t="s">
        <v>899</v>
      </c>
    </row>
    <row r="219" spans="2:9" x14ac:dyDescent="0.25">
      <c r="B219" t="s">
        <v>1098</v>
      </c>
      <c r="I219" t="s">
        <v>899</v>
      </c>
    </row>
    <row r="220" spans="2:9" x14ac:dyDescent="0.25">
      <c r="B220" t="s">
        <v>1099</v>
      </c>
      <c r="I220" t="s">
        <v>899</v>
      </c>
    </row>
    <row r="221" spans="2:9" x14ac:dyDescent="0.25">
      <c r="B221" t="s">
        <v>1100</v>
      </c>
      <c r="I221" t="s">
        <v>899</v>
      </c>
    </row>
    <row r="222" spans="2:9" x14ac:dyDescent="0.25">
      <c r="B222" t="s">
        <v>1101</v>
      </c>
      <c r="I222" t="s">
        <v>899</v>
      </c>
    </row>
    <row r="223" spans="2:9" x14ac:dyDescent="0.25">
      <c r="B223" t="s">
        <v>1102</v>
      </c>
      <c r="I223" t="s">
        <v>898</v>
      </c>
    </row>
    <row r="224" spans="2:9" x14ac:dyDescent="0.25">
      <c r="B224" t="s">
        <v>1103</v>
      </c>
      <c r="I224" t="s">
        <v>899</v>
      </c>
    </row>
    <row r="225" spans="2:9" x14ac:dyDescent="0.25">
      <c r="B225" t="s">
        <v>1104</v>
      </c>
      <c r="I225" t="s">
        <v>899</v>
      </c>
    </row>
    <row r="226" spans="2:9" x14ac:dyDescent="0.25">
      <c r="B226" t="s">
        <v>1105</v>
      </c>
      <c r="I226" t="s">
        <v>900</v>
      </c>
    </row>
    <row r="227" spans="2:9" x14ac:dyDescent="0.25">
      <c r="B227" t="s">
        <v>1106</v>
      </c>
      <c r="I227" t="s">
        <v>899</v>
      </c>
    </row>
    <row r="228" spans="2:9" x14ac:dyDescent="0.25">
      <c r="B228" t="s">
        <v>1107</v>
      </c>
      <c r="I228" t="s">
        <v>899</v>
      </c>
    </row>
    <row r="229" spans="2:9" x14ac:dyDescent="0.25">
      <c r="B229" t="s">
        <v>1108</v>
      </c>
      <c r="I229" t="s">
        <v>899</v>
      </c>
    </row>
    <row r="230" spans="2:9" x14ac:dyDescent="0.25">
      <c r="B230" t="s">
        <v>1109</v>
      </c>
      <c r="I230" t="s">
        <v>899</v>
      </c>
    </row>
    <row r="231" spans="2:9" x14ac:dyDescent="0.25">
      <c r="B231" t="s">
        <v>1110</v>
      </c>
      <c r="I231" t="s">
        <v>899</v>
      </c>
    </row>
    <row r="232" spans="2:9" x14ac:dyDescent="0.25">
      <c r="B232" t="s">
        <v>1111</v>
      </c>
      <c r="I232" t="s">
        <v>899</v>
      </c>
    </row>
    <row r="233" spans="2:9" x14ac:dyDescent="0.25">
      <c r="B233" t="s">
        <v>1112</v>
      </c>
      <c r="I233" t="s">
        <v>899</v>
      </c>
    </row>
    <row r="234" spans="2:9" x14ac:dyDescent="0.25">
      <c r="B234" t="s">
        <v>1113</v>
      </c>
      <c r="I234" t="s">
        <v>899</v>
      </c>
    </row>
    <row r="235" spans="2:9" x14ac:dyDescent="0.25">
      <c r="B235" t="s">
        <v>1114</v>
      </c>
      <c r="I235" t="s">
        <v>899</v>
      </c>
    </row>
    <row r="236" spans="2:9" x14ac:dyDescent="0.25">
      <c r="B236" t="s">
        <v>1115</v>
      </c>
      <c r="I236" t="s">
        <v>899</v>
      </c>
    </row>
    <row r="237" spans="2:9" x14ac:dyDescent="0.25">
      <c r="B237" t="s">
        <v>1116</v>
      </c>
      <c r="I237" t="s">
        <v>899</v>
      </c>
    </row>
    <row r="238" spans="2:9" x14ac:dyDescent="0.25">
      <c r="B238" t="s">
        <v>1117</v>
      </c>
      <c r="I238" t="s">
        <v>1145</v>
      </c>
    </row>
    <row r="239" spans="2:9" x14ac:dyDescent="0.25">
      <c r="B239" t="s">
        <v>1118</v>
      </c>
      <c r="I239" t="s">
        <v>899</v>
      </c>
    </row>
    <row r="240" spans="2:9" x14ac:dyDescent="0.25">
      <c r="B240" t="s">
        <v>1119</v>
      </c>
      <c r="I240" t="s">
        <v>890</v>
      </c>
    </row>
    <row r="241" spans="2:9" x14ac:dyDescent="0.25">
      <c r="B241" t="s">
        <v>1120</v>
      </c>
      <c r="I241" t="s">
        <v>899</v>
      </c>
    </row>
    <row r="242" spans="2:9" x14ac:dyDescent="0.25">
      <c r="B242" t="s">
        <v>1121</v>
      </c>
      <c r="I242" t="s">
        <v>1155</v>
      </c>
    </row>
    <row r="243" spans="2:9" x14ac:dyDescent="0.25">
      <c r="B243" t="s">
        <v>1122</v>
      </c>
      <c r="I243" t="s">
        <v>899</v>
      </c>
    </row>
    <row r="244" spans="2:9" x14ac:dyDescent="0.25">
      <c r="B244" t="s">
        <v>1123</v>
      </c>
      <c r="I244" t="s">
        <v>899</v>
      </c>
    </row>
    <row r="245" spans="2:9" x14ac:dyDescent="0.25">
      <c r="B245" t="s">
        <v>1124</v>
      </c>
      <c r="I245" t="s">
        <v>899</v>
      </c>
    </row>
    <row r="246" spans="2:9" x14ac:dyDescent="0.25">
      <c r="B246" t="s">
        <v>1125</v>
      </c>
      <c r="I246" t="s">
        <v>899</v>
      </c>
    </row>
    <row r="247" spans="2:9" x14ac:dyDescent="0.25">
      <c r="B247" t="s">
        <v>1126</v>
      </c>
      <c r="I247" t="s">
        <v>899</v>
      </c>
    </row>
    <row r="248" spans="2:9" x14ac:dyDescent="0.25">
      <c r="B248" t="s">
        <v>1127</v>
      </c>
      <c r="I248" t="s">
        <v>899</v>
      </c>
    </row>
    <row r="249" spans="2:9" x14ac:dyDescent="0.25">
      <c r="B249" t="s">
        <v>1128</v>
      </c>
      <c r="I249" t="s">
        <v>899</v>
      </c>
    </row>
    <row r="250" spans="2:9" x14ac:dyDescent="0.25">
      <c r="B250" t="s">
        <v>1129</v>
      </c>
      <c r="I250" t="s">
        <v>899</v>
      </c>
    </row>
    <row r="251" spans="2:9" x14ac:dyDescent="0.25">
      <c r="B251" t="s">
        <v>1130</v>
      </c>
      <c r="I251" t="s">
        <v>899</v>
      </c>
    </row>
    <row r="252" spans="2:9" x14ac:dyDescent="0.25">
      <c r="B252" t="s">
        <v>1131</v>
      </c>
      <c r="I252" t="s">
        <v>899</v>
      </c>
    </row>
    <row r="253" spans="2:9" x14ac:dyDescent="0.25">
      <c r="B253" t="s">
        <v>1132</v>
      </c>
      <c r="I253" t="s">
        <v>890</v>
      </c>
    </row>
    <row r="254" spans="2:9" x14ac:dyDescent="0.25">
      <c r="B254" t="s">
        <v>1133</v>
      </c>
      <c r="I254" t="s">
        <v>1145</v>
      </c>
    </row>
    <row r="255" spans="2:9" x14ac:dyDescent="0.25">
      <c r="B255" t="s">
        <v>972</v>
      </c>
    </row>
    <row r="256" spans="2:9" x14ac:dyDescent="0.25">
      <c r="B256" t="s">
        <v>1134</v>
      </c>
      <c r="I256" t="s">
        <v>894</v>
      </c>
    </row>
    <row r="257" spans="2:9" x14ac:dyDescent="0.25">
      <c r="B257" t="s">
        <v>972</v>
      </c>
    </row>
    <row r="258" spans="2:9" x14ac:dyDescent="0.25">
      <c r="B258" t="s">
        <v>1135</v>
      </c>
      <c r="I258" t="s">
        <v>894</v>
      </c>
    </row>
    <row r="259" spans="2:9" x14ac:dyDescent="0.25">
      <c r="B259" t="s">
        <v>972</v>
      </c>
    </row>
    <row r="260" spans="2:9" x14ac:dyDescent="0.25">
      <c r="B260" t="s">
        <v>1136</v>
      </c>
      <c r="I260" t="s">
        <v>894</v>
      </c>
    </row>
    <row r="261" spans="2:9" x14ac:dyDescent="0.25">
      <c r="B261" t="s">
        <v>1137</v>
      </c>
      <c r="I261" t="s">
        <v>896</v>
      </c>
    </row>
    <row r="262" spans="2:9" x14ac:dyDescent="0.25">
      <c r="B262" t="s">
        <v>1138</v>
      </c>
    </row>
    <row r="263" spans="2:9" x14ac:dyDescent="0.25">
      <c r="B263" t="s">
        <v>1139</v>
      </c>
    </row>
    <row r="264" spans="2:9" x14ac:dyDescent="0.25">
      <c r="B264" t="s">
        <v>1140</v>
      </c>
    </row>
    <row r="265" spans="2:9" x14ac:dyDescent="0.25">
      <c r="B265" t="s">
        <v>1141</v>
      </c>
    </row>
    <row r="266" spans="2:9" x14ac:dyDescent="0.25">
      <c r="B266" t="s">
        <v>1142</v>
      </c>
    </row>
    <row r="268" spans="2:9" x14ac:dyDescent="0.25">
      <c r="B26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4509-7839-4AD6-BF70-D3BB859D1A73}">
  <dimension ref="E3:Q229"/>
  <sheetViews>
    <sheetView workbookViewId="0">
      <selection activeCell="E1" sqref="E1"/>
    </sheetView>
  </sheetViews>
  <sheetFormatPr defaultRowHeight="15" x14ac:dyDescent="0.25"/>
  <cols>
    <col min="5" max="5" width="21" bestFit="1" customWidth="1"/>
    <col min="6" max="6" width="17.7109375" bestFit="1" customWidth="1"/>
  </cols>
  <sheetData>
    <row r="3" spans="5:17" x14ac:dyDescent="0.25">
      <c r="E3" t="s">
        <v>540</v>
      </c>
      <c r="M3" s="3" t="s">
        <v>110</v>
      </c>
      <c r="Q3" s="3" t="s">
        <v>294</v>
      </c>
    </row>
    <row r="4" spans="5:17" x14ac:dyDescent="0.25">
      <c r="E4" t="s">
        <v>850</v>
      </c>
      <c r="F4" t="str">
        <f>IF(ISNUMBER(MATCH(E4,$Q$4:$Q$229,0)),"ZCY_TAB_RRP_E",IF(ISNUMBER(MATCH(E4,$M$4:$M$96,0)),"Z2A_T_PAY_BLOCK","Not Available"))</f>
        <v>Not Available</v>
      </c>
      <c r="M4" t="s">
        <v>541</v>
      </c>
      <c r="Q4" t="s">
        <v>541</v>
      </c>
    </row>
    <row r="5" spans="5:17" x14ac:dyDescent="0.25">
      <c r="E5" t="s">
        <v>851</v>
      </c>
      <c r="F5" t="str">
        <f t="shared" ref="F5:F68" si="0">IF(ISNUMBER(MATCH(E5,$Q$4:$Q$229,0)),"ZCY_TAB_RRP_E",IF(ISNUMBER(MATCH(E5,$M$4:$M$96,0)),"Z2A_T_PAY_BLOCK","Not Available"))</f>
        <v>Not Available</v>
      </c>
      <c r="M5" t="s">
        <v>542</v>
      </c>
      <c r="Q5" t="s">
        <v>542</v>
      </c>
    </row>
    <row r="6" spans="5:17" x14ac:dyDescent="0.25">
      <c r="E6" t="s">
        <v>852</v>
      </c>
      <c r="F6" t="str">
        <f t="shared" si="0"/>
        <v>Not Available</v>
      </c>
      <c r="M6" t="s">
        <v>543</v>
      </c>
      <c r="Q6" t="s">
        <v>543</v>
      </c>
    </row>
    <row r="7" spans="5:17" x14ac:dyDescent="0.25">
      <c r="E7" t="s">
        <v>853</v>
      </c>
      <c r="F7" t="str">
        <f t="shared" si="0"/>
        <v>Not Available</v>
      </c>
      <c r="M7" t="s">
        <v>544</v>
      </c>
      <c r="Q7" t="s">
        <v>544</v>
      </c>
    </row>
    <row r="8" spans="5:17" x14ac:dyDescent="0.25">
      <c r="E8" t="s">
        <v>854</v>
      </c>
      <c r="F8" t="str">
        <f t="shared" si="0"/>
        <v>Not Available</v>
      </c>
      <c r="M8" t="s">
        <v>545</v>
      </c>
      <c r="Q8" t="s">
        <v>545</v>
      </c>
    </row>
    <row r="9" spans="5:17" x14ac:dyDescent="0.25">
      <c r="E9" t="s">
        <v>855</v>
      </c>
      <c r="F9" t="str">
        <f t="shared" si="0"/>
        <v>Not Available</v>
      </c>
      <c r="M9" t="s">
        <v>546</v>
      </c>
      <c r="Q9" t="s">
        <v>546</v>
      </c>
    </row>
    <row r="10" spans="5:17" x14ac:dyDescent="0.25">
      <c r="E10" t="s">
        <v>856</v>
      </c>
      <c r="F10" t="str">
        <f t="shared" si="0"/>
        <v>Not Available</v>
      </c>
      <c r="M10" t="s">
        <v>547</v>
      </c>
      <c r="Q10" t="s">
        <v>547</v>
      </c>
    </row>
    <row r="11" spans="5:17" x14ac:dyDescent="0.25">
      <c r="E11" t="s">
        <v>857</v>
      </c>
      <c r="F11" t="str">
        <f t="shared" si="0"/>
        <v>Not Available</v>
      </c>
      <c r="M11" t="s">
        <v>548</v>
      </c>
      <c r="Q11" t="s">
        <v>634</v>
      </c>
    </row>
    <row r="12" spans="5:17" x14ac:dyDescent="0.25">
      <c r="E12" t="s">
        <v>858</v>
      </c>
      <c r="F12" t="str">
        <f t="shared" si="0"/>
        <v>Not Available</v>
      </c>
      <c r="M12" t="s">
        <v>549</v>
      </c>
      <c r="Q12" t="s">
        <v>548</v>
      </c>
    </row>
    <row r="13" spans="5:17" x14ac:dyDescent="0.25">
      <c r="E13" t="s">
        <v>859</v>
      </c>
      <c r="F13" t="str">
        <f t="shared" si="0"/>
        <v>Not Available</v>
      </c>
      <c r="M13" t="s">
        <v>550</v>
      </c>
      <c r="Q13" t="s">
        <v>635</v>
      </c>
    </row>
    <row r="14" spans="5:17" x14ac:dyDescent="0.25">
      <c r="E14" t="s">
        <v>860</v>
      </c>
      <c r="F14" t="str">
        <f t="shared" si="0"/>
        <v>Not Available</v>
      </c>
      <c r="M14" t="s">
        <v>551</v>
      </c>
      <c r="Q14" t="s">
        <v>549</v>
      </c>
    </row>
    <row r="15" spans="5:17" x14ac:dyDescent="0.25">
      <c r="E15" t="s">
        <v>549</v>
      </c>
      <c r="F15" t="str">
        <f t="shared" si="0"/>
        <v>ZCY_TAB_RRP_E</v>
      </c>
      <c r="M15" t="s">
        <v>552</v>
      </c>
      <c r="Q15" t="s">
        <v>636</v>
      </c>
    </row>
    <row r="16" spans="5:17" x14ac:dyDescent="0.25">
      <c r="E16" t="s">
        <v>545</v>
      </c>
      <c r="F16" t="str">
        <f t="shared" si="0"/>
        <v>ZCY_TAB_RRP_E</v>
      </c>
      <c r="M16" t="s">
        <v>553</v>
      </c>
      <c r="Q16" t="s">
        <v>637</v>
      </c>
    </row>
    <row r="17" spans="5:17" x14ac:dyDescent="0.25">
      <c r="E17" t="s">
        <v>546</v>
      </c>
      <c r="F17" t="str">
        <f t="shared" si="0"/>
        <v>ZCY_TAB_RRP_E</v>
      </c>
      <c r="M17" t="s">
        <v>554</v>
      </c>
      <c r="Q17" t="s">
        <v>638</v>
      </c>
    </row>
    <row r="18" spans="5:17" x14ac:dyDescent="0.25">
      <c r="E18" t="s">
        <v>547</v>
      </c>
      <c r="F18" t="str">
        <f t="shared" si="0"/>
        <v>ZCY_TAB_RRP_E</v>
      </c>
      <c r="M18" t="s">
        <v>555</v>
      </c>
      <c r="Q18" t="s">
        <v>639</v>
      </c>
    </row>
    <row r="19" spans="5:17" x14ac:dyDescent="0.25">
      <c r="E19" t="s">
        <v>548</v>
      </c>
      <c r="F19" t="str">
        <f t="shared" si="0"/>
        <v>ZCY_TAB_RRP_E</v>
      </c>
      <c r="M19" t="s">
        <v>556</v>
      </c>
      <c r="Q19" t="s">
        <v>640</v>
      </c>
    </row>
    <row r="20" spans="5:17" x14ac:dyDescent="0.25">
      <c r="E20" t="s">
        <v>542</v>
      </c>
      <c r="F20" t="str">
        <f t="shared" si="0"/>
        <v>ZCY_TAB_RRP_E</v>
      </c>
      <c r="M20" t="s">
        <v>557</v>
      </c>
      <c r="Q20" t="s">
        <v>641</v>
      </c>
    </row>
    <row r="21" spans="5:17" x14ac:dyDescent="0.25">
      <c r="E21" t="s">
        <v>543</v>
      </c>
      <c r="F21" t="str">
        <f t="shared" si="0"/>
        <v>ZCY_TAB_RRP_E</v>
      </c>
      <c r="M21" t="s">
        <v>558</v>
      </c>
      <c r="Q21" t="s">
        <v>642</v>
      </c>
    </row>
    <row r="22" spans="5:17" x14ac:dyDescent="0.25">
      <c r="E22" t="s">
        <v>544</v>
      </c>
      <c r="F22" t="str">
        <f t="shared" si="0"/>
        <v>ZCY_TAB_RRP_E</v>
      </c>
      <c r="M22" t="s">
        <v>559</v>
      </c>
      <c r="Q22" t="s">
        <v>632</v>
      </c>
    </row>
    <row r="23" spans="5:17" x14ac:dyDescent="0.25">
      <c r="E23" t="s">
        <v>712</v>
      </c>
      <c r="F23" t="str">
        <f t="shared" si="0"/>
        <v>ZCY_TAB_RRP_E</v>
      </c>
      <c r="M23" t="s">
        <v>560</v>
      </c>
      <c r="Q23" t="s">
        <v>643</v>
      </c>
    </row>
    <row r="24" spans="5:17" x14ac:dyDescent="0.25">
      <c r="E24" t="s">
        <v>753</v>
      </c>
      <c r="F24" t="str">
        <f t="shared" si="0"/>
        <v>ZCY_TAB_RRP_E</v>
      </c>
      <c r="M24" t="s">
        <v>561</v>
      </c>
      <c r="Q24" t="s">
        <v>644</v>
      </c>
    </row>
    <row r="25" spans="5:17" x14ac:dyDescent="0.25">
      <c r="E25" t="s">
        <v>756</v>
      </c>
      <c r="F25" t="str">
        <f t="shared" si="0"/>
        <v>ZCY_TAB_RRP_E</v>
      </c>
      <c r="M25" t="s">
        <v>562</v>
      </c>
      <c r="Q25" t="s">
        <v>645</v>
      </c>
    </row>
    <row r="26" spans="5:17" x14ac:dyDescent="0.25">
      <c r="E26" t="s">
        <v>755</v>
      </c>
      <c r="F26" t="str">
        <f t="shared" si="0"/>
        <v>ZCY_TAB_RRP_E</v>
      </c>
      <c r="M26" t="s">
        <v>563</v>
      </c>
      <c r="Q26" t="s">
        <v>646</v>
      </c>
    </row>
    <row r="27" spans="5:17" x14ac:dyDescent="0.25">
      <c r="E27" t="s">
        <v>847</v>
      </c>
      <c r="F27" t="str">
        <f t="shared" si="0"/>
        <v>ZCY_TAB_RRP_E</v>
      </c>
      <c r="M27" t="s">
        <v>564</v>
      </c>
      <c r="Q27" t="s">
        <v>647</v>
      </c>
    </row>
    <row r="28" spans="5:17" x14ac:dyDescent="0.25">
      <c r="E28" t="s">
        <v>762</v>
      </c>
      <c r="F28" t="str">
        <f t="shared" si="0"/>
        <v>ZCY_TAB_RRP_E</v>
      </c>
      <c r="M28" t="s">
        <v>565</v>
      </c>
      <c r="Q28" t="s">
        <v>648</v>
      </c>
    </row>
    <row r="29" spans="5:17" x14ac:dyDescent="0.25">
      <c r="E29" t="s">
        <v>763</v>
      </c>
      <c r="F29" t="str">
        <f t="shared" si="0"/>
        <v>ZCY_TAB_RRP_E</v>
      </c>
      <c r="M29" t="s">
        <v>566</v>
      </c>
      <c r="Q29" t="s">
        <v>649</v>
      </c>
    </row>
    <row r="30" spans="5:17" x14ac:dyDescent="0.25">
      <c r="E30" t="s">
        <v>764</v>
      </c>
      <c r="F30" t="str">
        <f t="shared" si="0"/>
        <v>ZCY_TAB_RRP_E</v>
      </c>
      <c r="M30" t="s">
        <v>567</v>
      </c>
      <c r="Q30" t="s">
        <v>650</v>
      </c>
    </row>
    <row r="31" spans="5:17" x14ac:dyDescent="0.25">
      <c r="E31" t="s">
        <v>774</v>
      </c>
      <c r="F31" t="str">
        <f t="shared" si="0"/>
        <v>ZCY_TAB_RRP_E</v>
      </c>
      <c r="M31" t="s">
        <v>568</v>
      </c>
      <c r="Q31" t="s">
        <v>651</v>
      </c>
    </row>
    <row r="32" spans="5:17" x14ac:dyDescent="0.25">
      <c r="E32" t="s">
        <v>782</v>
      </c>
      <c r="F32" t="str">
        <f t="shared" si="0"/>
        <v>ZCY_TAB_RRP_E</v>
      </c>
      <c r="M32" t="s">
        <v>569</v>
      </c>
      <c r="Q32" t="s">
        <v>652</v>
      </c>
    </row>
    <row r="33" spans="5:17" x14ac:dyDescent="0.25">
      <c r="E33" t="s">
        <v>783</v>
      </c>
      <c r="F33" t="str">
        <f t="shared" si="0"/>
        <v>ZCY_TAB_RRP_E</v>
      </c>
      <c r="M33" t="s">
        <v>570</v>
      </c>
      <c r="Q33" t="s">
        <v>653</v>
      </c>
    </row>
    <row r="34" spans="5:17" x14ac:dyDescent="0.25">
      <c r="E34" t="s">
        <v>784</v>
      </c>
      <c r="F34" t="str">
        <f t="shared" si="0"/>
        <v>ZCY_TAB_RRP_E</v>
      </c>
      <c r="M34" t="s">
        <v>571</v>
      </c>
      <c r="Q34" t="s">
        <v>654</v>
      </c>
    </row>
    <row r="35" spans="5:17" x14ac:dyDescent="0.25">
      <c r="E35" t="s">
        <v>785</v>
      </c>
      <c r="F35" t="str">
        <f t="shared" si="0"/>
        <v>ZCY_TAB_RRP_E</v>
      </c>
      <c r="M35" t="s">
        <v>572</v>
      </c>
      <c r="Q35" t="s">
        <v>655</v>
      </c>
    </row>
    <row r="36" spans="5:17" x14ac:dyDescent="0.25">
      <c r="E36" t="s">
        <v>848</v>
      </c>
      <c r="F36" t="str">
        <f t="shared" si="0"/>
        <v>ZCY_TAB_RRP_E</v>
      </c>
      <c r="M36" t="s">
        <v>573</v>
      </c>
      <c r="Q36" t="s">
        <v>656</v>
      </c>
    </row>
    <row r="37" spans="5:17" x14ac:dyDescent="0.25">
      <c r="E37" t="s">
        <v>849</v>
      </c>
      <c r="F37" t="str">
        <f t="shared" si="0"/>
        <v>ZCY_TAB_RRP_E</v>
      </c>
      <c r="M37" t="s">
        <v>574</v>
      </c>
      <c r="Q37" t="s">
        <v>657</v>
      </c>
    </row>
    <row r="38" spans="5:17" x14ac:dyDescent="0.25">
      <c r="E38" t="s">
        <v>806</v>
      </c>
      <c r="F38" t="str">
        <f t="shared" si="0"/>
        <v>ZCY_TAB_RRP_E</v>
      </c>
      <c r="M38" t="s">
        <v>575</v>
      </c>
      <c r="Q38" t="s">
        <v>658</v>
      </c>
    </row>
    <row r="39" spans="5:17" x14ac:dyDescent="0.25">
      <c r="E39" t="s">
        <v>807</v>
      </c>
      <c r="F39" t="str">
        <f t="shared" si="0"/>
        <v>ZCY_TAB_RRP_E</v>
      </c>
      <c r="M39" t="s">
        <v>576</v>
      </c>
      <c r="Q39" t="s">
        <v>659</v>
      </c>
    </row>
    <row r="40" spans="5:17" x14ac:dyDescent="0.25">
      <c r="E40" t="s">
        <v>808</v>
      </c>
      <c r="F40" t="str">
        <f t="shared" si="0"/>
        <v>ZCY_TAB_RRP_E</v>
      </c>
      <c r="M40" t="s">
        <v>577</v>
      </c>
      <c r="Q40" t="s">
        <v>660</v>
      </c>
    </row>
    <row r="41" spans="5:17" x14ac:dyDescent="0.25">
      <c r="E41" t="s">
        <v>812</v>
      </c>
      <c r="F41" t="str">
        <f t="shared" si="0"/>
        <v>ZCY_TAB_RRP_E</v>
      </c>
      <c r="M41" t="s">
        <v>578</v>
      </c>
      <c r="Q41" t="s">
        <v>661</v>
      </c>
    </row>
    <row r="42" spans="5:17" x14ac:dyDescent="0.25">
      <c r="E42" t="s">
        <v>813</v>
      </c>
      <c r="F42" t="str">
        <f t="shared" si="0"/>
        <v>ZCY_TAB_RRP_E</v>
      </c>
      <c r="M42" t="s">
        <v>579</v>
      </c>
      <c r="Q42" t="s">
        <v>662</v>
      </c>
    </row>
    <row r="43" spans="5:17" x14ac:dyDescent="0.25">
      <c r="E43" t="s">
        <v>814</v>
      </c>
      <c r="F43" t="str">
        <f t="shared" si="0"/>
        <v>ZCY_TAB_RRP_E</v>
      </c>
      <c r="M43" t="s">
        <v>580</v>
      </c>
      <c r="Q43" t="s">
        <v>663</v>
      </c>
    </row>
    <row r="44" spans="5:17" x14ac:dyDescent="0.25">
      <c r="E44" t="s">
        <v>815</v>
      </c>
      <c r="F44" t="str">
        <f t="shared" si="0"/>
        <v>ZCY_TAB_RRP_E</v>
      </c>
      <c r="M44" t="s">
        <v>581</v>
      </c>
      <c r="Q44" t="s">
        <v>664</v>
      </c>
    </row>
    <row r="45" spans="5:17" x14ac:dyDescent="0.25">
      <c r="E45" t="s">
        <v>816</v>
      </c>
      <c r="F45" t="str">
        <f t="shared" si="0"/>
        <v>ZCY_TAB_RRP_E</v>
      </c>
      <c r="M45" t="s">
        <v>582</v>
      </c>
      <c r="Q45" t="s">
        <v>665</v>
      </c>
    </row>
    <row r="46" spans="5:17" x14ac:dyDescent="0.25">
      <c r="E46" t="s">
        <v>818</v>
      </c>
      <c r="F46" t="str">
        <f t="shared" si="0"/>
        <v>ZCY_TAB_RRP_E</v>
      </c>
      <c r="M46" t="s">
        <v>583</v>
      </c>
      <c r="Q46" t="s">
        <v>666</v>
      </c>
    </row>
    <row r="47" spans="5:17" x14ac:dyDescent="0.25">
      <c r="E47" t="s">
        <v>819</v>
      </c>
      <c r="F47" t="str">
        <f t="shared" si="0"/>
        <v>ZCY_TAB_RRP_E</v>
      </c>
      <c r="M47" t="s">
        <v>584</v>
      </c>
      <c r="Q47" t="s">
        <v>667</v>
      </c>
    </row>
    <row r="48" spans="5:17" x14ac:dyDescent="0.25">
      <c r="E48" t="s">
        <v>820</v>
      </c>
      <c r="F48" t="str">
        <f t="shared" si="0"/>
        <v>ZCY_TAB_RRP_E</v>
      </c>
      <c r="M48" t="s">
        <v>585</v>
      </c>
      <c r="Q48" t="s">
        <v>668</v>
      </c>
    </row>
    <row r="49" spans="5:17" x14ac:dyDescent="0.25">
      <c r="E49" t="s">
        <v>821</v>
      </c>
      <c r="F49" t="str">
        <f t="shared" si="0"/>
        <v>ZCY_TAB_RRP_E</v>
      </c>
      <c r="M49" t="s">
        <v>586</v>
      </c>
      <c r="Q49" t="s">
        <v>669</v>
      </c>
    </row>
    <row r="50" spans="5:17" x14ac:dyDescent="0.25">
      <c r="E50" t="s">
        <v>822</v>
      </c>
      <c r="F50" t="str">
        <f t="shared" si="0"/>
        <v>ZCY_TAB_RRP_E</v>
      </c>
      <c r="M50" t="s">
        <v>587</v>
      </c>
      <c r="Q50" t="s">
        <v>670</v>
      </c>
    </row>
    <row r="51" spans="5:17" x14ac:dyDescent="0.25">
      <c r="E51" t="s">
        <v>823</v>
      </c>
      <c r="F51" t="str">
        <f t="shared" si="0"/>
        <v>ZCY_TAB_RRP_E</v>
      </c>
      <c r="M51" t="s">
        <v>588</v>
      </c>
      <c r="Q51" t="s">
        <v>671</v>
      </c>
    </row>
    <row r="52" spans="5:17" x14ac:dyDescent="0.25">
      <c r="E52" t="s">
        <v>824</v>
      </c>
      <c r="F52" t="str">
        <f t="shared" si="0"/>
        <v>ZCY_TAB_RRP_E</v>
      </c>
      <c r="M52" t="s">
        <v>589</v>
      </c>
      <c r="Q52" t="s">
        <v>672</v>
      </c>
    </row>
    <row r="53" spans="5:17" x14ac:dyDescent="0.25">
      <c r="E53" t="s">
        <v>825</v>
      </c>
      <c r="F53" t="str">
        <f t="shared" si="0"/>
        <v>ZCY_TAB_RRP_E</v>
      </c>
      <c r="M53" t="s">
        <v>590</v>
      </c>
      <c r="Q53" t="s">
        <v>673</v>
      </c>
    </row>
    <row r="54" spans="5:17" x14ac:dyDescent="0.25">
      <c r="E54" t="s">
        <v>826</v>
      </c>
      <c r="F54" t="str">
        <f t="shared" si="0"/>
        <v>ZCY_TAB_RRP_E</v>
      </c>
      <c r="M54" t="s">
        <v>591</v>
      </c>
      <c r="Q54" t="s">
        <v>674</v>
      </c>
    </row>
    <row r="55" spans="5:17" x14ac:dyDescent="0.25">
      <c r="E55" t="s">
        <v>828</v>
      </c>
      <c r="F55" t="str">
        <f t="shared" si="0"/>
        <v>ZCY_TAB_RRP_E</v>
      </c>
      <c r="M55" t="s">
        <v>592</v>
      </c>
      <c r="Q55" t="s">
        <v>675</v>
      </c>
    </row>
    <row r="56" spans="5:17" x14ac:dyDescent="0.25">
      <c r="E56" t="s">
        <v>829</v>
      </c>
      <c r="F56" t="str">
        <f t="shared" si="0"/>
        <v>ZCY_TAB_RRP_E</v>
      </c>
      <c r="M56" t="s">
        <v>593</v>
      </c>
      <c r="Q56" t="s">
        <v>676</v>
      </c>
    </row>
    <row r="57" spans="5:17" x14ac:dyDescent="0.25">
      <c r="E57" t="s">
        <v>760</v>
      </c>
      <c r="F57" t="str">
        <f t="shared" si="0"/>
        <v>ZCY_TAB_RRP_E</v>
      </c>
      <c r="M57" t="s">
        <v>594</v>
      </c>
      <c r="Q57" t="s">
        <v>677</v>
      </c>
    </row>
    <row r="58" spans="5:17" x14ac:dyDescent="0.25">
      <c r="E58" t="s">
        <v>761</v>
      </c>
      <c r="F58" t="str">
        <f t="shared" si="0"/>
        <v>ZCY_TAB_RRP_E</v>
      </c>
      <c r="M58" t="s">
        <v>595</v>
      </c>
      <c r="Q58" t="s">
        <v>678</v>
      </c>
    </row>
    <row r="59" spans="5:17" x14ac:dyDescent="0.25">
      <c r="E59" t="s">
        <v>837</v>
      </c>
      <c r="F59" t="str">
        <f t="shared" si="0"/>
        <v>ZCY_TAB_RRP_E</v>
      </c>
      <c r="M59" t="s">
        <v>596</v>
      </c>
      <c r="Q59" t="s">
        <v>679</v>
      </c>
    </row>
    <row r="60" spans="5:17" x14ac:dyDescent="0.25">
      <c r="E60" t="s">
        <v>840</v>
      </c>
      <c r="F60" t="str">
        <f t="shared" si="0"/>
        <v>ZCY_TAB_RRP_E</v>
      </c>
      <c r="M60" t="s">
        <v>597</v>
      </c>
      <c r="Q60" t="s">
        <v>680</v>
      </c>
    </row>
    <row r="61" spans="5:17" x14ac:dyDescent="0.25">
      <c r="E61" t="s">
        <v>841</v>
      </c>
      <c r="F61" t="str">
        <f t="shared" si="0"/>
        <v>ZCY_TAB_RRP_E</v>
      </c>
      <c r="M61" t="s">
        <v>598</v>
      </c>
      <c r="Q61" t="s">
        <v>681</v>
      </c>
    </row>
    <row r="62" spans="5:17" x14ac:dyDescent="0.25">
      <c r="E62" t="s">
        <v>834</v>
      </c>
      <c r="F62" t="str">
        <f t="shared" si="0"/>
        <v>ZCY_TAB_RRP_E</v>
      </c>
      <c r="M62" t="s">
        <v>599</v>
      </c>
      <c r="Q62" t="s">
        <v>682</v>
      </c>
    </row>
    <row r="63" spans="5:17" x14ac:dyDescent="0.25">
      <c r="E63" t="s">
        <v>835</v>
      </c>
      <c r="F63" t="str">
        <f t="shared" si="0"/>
        <v>ZCY_TAB_RRP_E</v>
      </c>
      <c r="M63" t="s">
        <v>600</v>
      </c>
      <c r="Q63" t="s">
        <v>683</v>
      </c>
    </row>
    <row r="64" spans="5:17" x14ac:dyDescent="0.25">
      <c r="E64" t="s">
        <v>836</v>
      </c>
      <c r="F64" t="str">
        <f t="shared" si="0"/>
        <v>ZCY_TAB_RRP_E</v>
      </c>
      <c r="M64" t="s">
        <v>601</v>
      </c>
      <c r="Q64" t="s">
        <v>684</v>
      </c>
    </row>
    <row r="65" spans="5:17" x14ac:dyDescent="0.25">
      <c r="E65" t="s">
        <v>839</v>
      </c>
      <c r="F65" t="str">
        <f t="shared" si="0"/>
        <v>ZCY_TAB_RRP_E</v>
      </c>
      <c r="M65" t="s">
        <v>602</v>
      </c>
      <c r="Q65" t="s">
        <v>685</v>
      </c>
    </row>
    <row r="66" spans="5:17" x14ac:dyDescent="0.25">
      <c r="E66" t="s">
        <v>647</v>
      </c>
      <c r="F66" t="str">
        <f t="shared" si="0"/>
        <v>ZCY_TAB_RRP_E</v>
      </c>
      <c r="M66" t="s">
        <v>603</v>
      </c>
      <c r="Q66" t="s">
        <v>686</v>
      </c>
    </row>
    <row r="67" spans="5:17" x14ac:dyDescent="0.25">
      <c r="E67" t="s">
        <v>648</v>
      </c>
      <c r="F67" t="str">
        <f t="shared" si="0"/>
        <v>ZCY_TAB_RRP_E</v>
      </c>
      <c r="M67" t="s">
        <v>604</v>
      </c>
      <c r="Q67" t="s">
        <v>687</v>
      </c>
    </row>
    <row r="68" spans="5:17" x14ac:dyDescent="0.25">
      <c r="E68" t="s">
        <v>711</v>
      </c>
      <c r="F68" t="str">
        <f t="shared" si="0"/>
        <v>ZCY_TAB_RRP_E</v>
      </c>
      <c r="M68" t="s">
        <v>605</v>
      </c>
      <c r="Q68" t="s">
        <v>688</v>
      </c>
    </row>
    <row r="69" spans="5:17" x14ac:dyDescent="0.25">
      <c r="E69" t="s">
        <v>718</v>
      </c>
      <c r="F69" t="str">
        <f t="shared" ref="F69:F90" si="1">IF(ISNUMBER(MATCH(E69,$Q$4:$Q$229,0)),"ZCY_TAB_RRP_E",IF(ISNUMBER(MATCH(E69,$M$4:$M$96,0)),"Z2A_T_PAY_BLOCK","Not Available"))</f>
        <v>ZCY_TAB_RRP_E</v>
      </c>
      <c r="M69" t="s">
        <v>606</v>
      </c>
      <c r="Q69" t="s">
        <v>689</v>
      </c>
    </row>
    <row r="70" spans="5:17" x14ac:dyDescent="0.25">
      <c r="E70" t="s">
        <v>643</v>
      </c>
      <c r="F70" t="str">
        <f t="shared" si="1"/>
        <v>ZCY_TAB_RRP_E</v>
      </c>
      <c r="M70" t="s">
        <v>607</v>
      </c>
      <c r="Q70" t="s">
        <v>690</v>
      </c>
    </row>
    <row r="71" spans="5:17" x14ac:dyDescent="0.25">
      <c r="E71" t="s">
        <v>644</v>
      </c>
      <c r="F71" t="str">
        <f t="shared" si="1"/>
        <v>ZCY_TAB_RRP_E</v>
      </c>
      <c r="M71" t="s">
        <v>608</v>
      </c>
      <c r="Q71" t="s">
        <v>691</v>
      </c>
    </row>
    <row r="72" spans="5:17" x14ac:dyDescent="0.25">
      <c r="E72" t="s">
        <v>786</v>
      </c>
      <c r="F72" t="str">
        <f t="shared" si="1"/>
        <v>ZCY_TAB_RRP_E</v>
      </c>
      <c r="M72" t="s">
        <v>609</v>
      </c>
      <c r="Q72" t="s">
        <v>692</v>
      </c>
    </row>
    <row r="73" spans="5:17" x14ac:dyDescent="0.25">
      <c r="E73" t="s">
        <v>737</v>
      </c>
      <c r="F73" t="str">
        <f t="shared" si="1"/>
        <v>ZCY_TAB_RRP_E</v>
      </c>
      <c r="M73" t="s">
        <v>610</v>
      </c>
      <c r="Q73" t="s">
        <v>693</v>
      </c>
    </row>
    <row r="74" spans="5:17" x14ac:dyDescent="0.25">
      <c r="E74" t="s">
        <v>741</v>
      </c>
      <c r="F74" t="str">
        <f t="shared" si="1"/>
        <v>ZCY_TAB_RRP_E</v>
      </c>
      <c r="M74" t="s">
        <v>611</v>
      </c>
      <c r="Q74" t="s">
        <v>694</v>
      </c>
    </row>
    <row r="75" spans="5:17" x14ac:dyDescent="0.25">
      <c r="E75" t="s">
        <v>742</v>
      </c>
      <c r="F75" t="str">
        <f t="shared" si="1"/>
        <v>ZCY_TAB_RRP_E</v>
      </c>
      <c r="M75" t="s">
        <v>612</v>
      </c>
      <c r="Q75" t="s">
        <v>695</v>
      </c>
    </row>
    <row r="76" spans="5:17" x14ac:dyDescent="0.25">
      <c r="E76" t="s">
        <v>743</v>
      </c>
      <c r="F76" t="str">
        <f t="shared" si="1"/>
        <v>ZCY_TAB_RRP_E</v>
      </c>
      <c r="M76" t="s">
        <v>613</v>
      </c>
      <c r="Q76" t="s">
        <v>696</v>
      </c>
    </row>
    <row r="77" spans="5:17" x14ac:dyDescent="0.25">
      <c r="E77" t="s">
        <v>744</v>
      </c>
      <c r="F77" t="str">
        <f t="shared" si="1"/>
        <v>ZCY_TAB_RRP_E</v>
      </c>
      <c r="M77" t="s">
        <v>614</v>
      </c>
      <c r="Q77" t="s">
        <v>697</v>
      </c>
    </row>
    <row r="78" spans="5:17" x14ac:dyDescent="0.25">
      <c r="E78" t="s">
        <v>745</v>
      </c>
      <c r="F78" t="str">
        <f t="shared" si="1"/>
        <v>ZCY_TAB_RRP_E</v>
      </c>
      <c r="M78" t="s">
        <v>615</v>
      </c>
      <c r="Q78" t="s">
        <v>698</v>
      </c>
    </row>
    <row r="79" spans="5:17" x14ac:dyDescent="0.25">
      <c r="E79" t="s">
        <v>746</v>
      </c>
      <c r="F79" t="str">
        <f t="shared" si="1"/>
        <v>ZCY_TAB_RRP_E</v>
      </c>
      <c r="M79" t="s">
        <v>616</v>
      </c>
      <c r="Q79" t="s">
        <v>699</v>
      </c>
    </row>
    <row r="80" spans="5:17" x14ac:dyDescent="0.25">
      <c r="E80" t="s">
        <v>747</v>
      </c>
      <c r="F80" t="str">
        <f t="shared" si="1"/>
        <v>ZCY_TAB_RRP_E</v>
      </c>
      <c r="M80" t="s">
        <v>617</v>
      </c>
      <c r="Q80" t="s">
        <v>700</v>
      </c>
    </row>
    <row r="81" spans="5:17" x14ac:dyDescent="0.25">
      <c r="E81" t="s">
        <v>766</v>
      </c>
      <c r="F81" t="str">
        <f t="shared" si="1"/>
        <v>ZCY_TAB_RRP_E</v>
      </c>
      <c r="M81" t="s">
        <v>618</v>
      </c>
      <c r="Q81" t="s">
        <v>701</v>
      </c>
    </row>
    <row r="82" spans="5:17" x14ac:dyDescent="0.25">
      <c r="E82" t="s">
        <v>791</v>
      </c>
      <c r="F82" t="str">
        <f t="shared" si="1"/>
        <v>ZCY_TAB_RRP_E</v>
      </c>
      <c r="M82" t="s">
        <v>619</v>
      </c>
      <c r="Q82" t="s">
        <v>702</v>
      </c>
    </row>
    <row r="83" spans="5:17" x14ac:dyDescent="0.25">
      <c r="E83" t="s">
        <v>792</v>
      </c>
      <c r="F83" t="str">
        <f t="shared" si="1"/>
        <v>ZCY_TAB_RRP_E</v>
      </c>
      <c r="M83" t="s">
        <v>620</v>
      </c>
      <c r="Q83" t="s">
        <v>703</v>
      </c>
    </row>
    <row r="84" spans="5:17" x14ac:dyDescent="0.25">
      <c r="E84" t="s">
        <v>793</v>
      </c>
      <c r="F84" t="str">
        <f t="shared" si="1"/>
        <v>ZCY_TAB_RRP_E</v>
      </c>
      <c r="M84" t="s">
        <v>621</v>
      </c>
      <c r="Q84" t="s">
        <v>704</v>
      </c>
    </row>
    <row r="85" spans="5:17" x14ac:dyDescent="0.25">
      <c r="E85" t="s">
        <v>794</v>
      </c>
      <c r="F85" t="str">
        <f t="shared" si="1"/>
        <v>ZCY_TAB_RRP_E</v>
      </c>
      <c r="M85" t="s">
        <v>622</v>
      </c>
      <c r="Q85" t="s">
        <v>705</v>
      </c>
    </row>
    <row r="86" spans="5:17" x14ac:dyDescent="0.25">
      <c r="E86" t="s">
        <v>795</v>
      </c>
      <c r="F86" t="str">
        <f t="shared" si="1"/>
        <v>ZCY_TAB_RRP_E</v>
      </c>
      <c r="M86" t="s">
        <v>623</v>
      </c>
      <c r="Q86" t="s">
        <v>706</v>
      </c>
    </row>
    <row r="87" spans="5:17" x14ac:dyDescent="0.25">
      <c r="E87" t="s">
        <v>798</v>
      </c>
      <c r="F87" t="str">
        <f t="shared" si="1"/>
        <v>ZCY_TAB_RRP_E</v>
      </c>
      <c r="M87" t="s">
        <v>624</v>
      </c>
      <c r="Q87" t="s">
        <v>707</v>
      </c>
    </row>
    <row r="88" spans="5:17" x14ac:dyDescent="0.25">
      <c r="E88" t="s">
        <v>844</v>
      </c>
      <c r="F88" t="str">
        <f t="shared" si="1"/>
        <v>ZCY_TAB_RRP_E</v>
      </c>
      <c r="M88" t="s">
        <v>625</v>
      </c>
      <c r="Q88" t="s">
        <v>708</v>
      </c>
    </row>
    <row r="89" spans="5:17" x14ac:dyDescent="0.25">
      <c r="E89" t="s">
        <v>845</v>
      </c>
      <c r="F89" t="str">
        <f t="shared" si="1"/>
        <v>ZCY_TAB_RRP_E</v>
      </c>
      <c r="M89" t="s">
        <v>626</v>
      </c>
      <c r="Q89" t="s">
        <v>709</v>
      </c>
    </row>
    <row r="90" spans="5:17" x14ac:dyDescent="0.25">
      <c r="E90" t="s">
        <v>846</v>
      </c>
      <c r="F90" t="str">
        <f t="shared" si="1"/>
        <v>ZCY_TAB_RRP_E</v>
      </c>
      <c r="M90" t="s">
        <v>627</v>
      </c>
      <c r="Q90" t="s">
        <v>710</v>
      </c>
    </row>
    <row r="91" spans="5:17" x14ac:dyDescent="0.25">
      <c r="M91" t="s">
        <v>628</v>
      </c>
      <c r="Q91" t="s">
        <v>711</v>
      </c>
    </row>
    <row r="92" spans="5:17" x14ac:dyDescent="0.25">
      <c r="M92" t="s">
        <v>629</v>
      </c>
      <c r="Q92" t="s">
        <v>712</v>
      </c>
    </row>
    <row r="93" spans="5:17" x14ac:dyDescent="0.25">
      <c r="M93" t="s">
        <v>630</v>
      </c>
      <c r="Q93" t="s">
        <v>713</v>
      </c>
    </row>
    <row r="94" spans="5:17" x14ac:dyDescent="0.25">
      <c r="M94" t="s">
        <v>631</v>
      </c>
      <c r="Q94" t="s">
        <v>714</v>
      </c>
    </row>
    <row r="95" spans="5:17" x14ac:dyDescent="0.25">
      <c r="M95" t="s">
        <v>632</v>
      </c>
      <c r="Q95" t="s">
        <v>715</v>
      </c>
    </row>
    <row r="96" spans="5:17" x14ac:dyDescent="0.25">
      <c r="M96" t="s">
        <v>633</v>
      </c>
      <c r="Q96" t="s">
        <v>716</v>
      </c>
    </row>
    <row r="97" spans="17:17" x14ac:dyDescent="0.25">
      <c r="Q97" t="s">
        <v>717</v>
      </c>
    </row>
    <row r="98" spans="17:17" x14ac:dyDescent="0.25">
      <c r="Q98" t="s">
        <v>718</v>
      </c>
    </row>
    <row r="99" spans="17:17" x14ac:dyDescent="0.25">
      <c r="Q99" t="s">
        <v>719</v>
      </c>
    </row>
    <row r="100" spans="17:17" x14ac:dyDescent="0.25">
      <c r="Q100" t="s">
        <v>720</v>
      </c>
    </row>
    <row r="101" spans="17:17" x14ac:dyDescent="0.25">
      <c r="Q101" t="s">
        <v>721</v>
      </c>
    </row>
    <row r="102" spans="17:17" x14ac:dyDescent="0.25">
      <c r="Q102" t="s">
        <v>722</v>
      </c>
    </row>
    <row r="103" spans="17:17" x14ac:dyDescent="0.25">
      <c r="Q103" t="s">
        <v>723</v>
      </c>
    </row>
    <row r="104" spans="17:17" x14ac:dyDescent="0.25">
      <c r="Q104" t="s">
        <v>724</v>
      </c>
    </row>
    <row r="105" spans="17:17" x14ac:dyDescent="0.25">
      <c r="Q105" t="s">
        <v>725</v>
      </c>
    </row>
    <row r="106" spans="17:17" x14ac:dyDescent="0.25">
      <c r="Q106" t="s">
        <v>726</v>
      </c>
    </row>
    <row r="107" spans="17:17" x14ac:dyDescent="0.25">
      <c r="Q107" t="s">
        <v>727</v>
      </c>
    </row>
    <row r="108" spans="17:17" x14ac:dyDescent="0.25">
      <c r="Q108" t="s">
        <v>728</v>
      </c>
    </row>
    <row r="109" spans="17:17" x14ac:dyDescent="0.25">
      <c r="Q109" t="s">
        <v>729</v>
      </c>
    </row>
    <row r="110" spans="17:17" x14ac:dyDescent="0.25">
      <c r="Q110" t="s">
        <v>730</v>
      </c>
    </row>
    <row r="111" spans="17:17" x14ac:dyDescent="0.25">
      <c r="Q111" t="s">
        <v>731</v>
      </c>
    </row>
    <row r="112" spans="17:17" x14ac:dyDescent="0.25">
      <c r="Q112" t="s">
        <v>732</v>
      </c>
    </row>
    <row r="113" spans="17:17" x14ac:dyDescent="0.25">
      <c r="Q113" t="s">
        <v>733</v>
      </c>
    </row>
    <row r="114" spans="17:17" x14ac:dyDescent="0.25">
      <c r="Q114" t="s">
        <v>734</v>
      </c>
    </row>
    <row r="115" spans="17:17" x14ac:dyDescent="0.25">
      <c r="Q115" t="s">
        <v>735</v>
      </c>
    </row>
    <row r="116" spans="17:17" x14ac:dyDescent="0.25">
      <c r="Q116" t="s">
        <v>736</v>
      </c>
    </row>
    <row r="117" spans="17:17" x14ac:dyDescent="0.25">
      <c r="Q117" t="s">
        <v>737</v>
      </c>
    </row>
    <row r="118" spans="17:17" x14ac:dyDescent="0.25">
      <c r="Q118" t="s">
        <v>738</v>
      </c>
    </row>
    <row r="119" spans="17:17" x14ac:dyDescent="0.25">
      <c r="Q119" t="s">
        <v>739</v>
      </c>
    </row>
    <row r="120" spans="17:17" x14ac:dyDescent="0.25">
      <c r="Q120" t="s">
        <v>740</v>
      </c>
    </row>
    <row r="121" spans="17:17" x14ac:dyDescent="0.25">
      <c r="Q121" t="s">
        <v>741</v>
      </c>
    </row>
    <row r="122" spans="17:17" x14ac:dyDescent="0.25">
      <c r="Q122" t="s">
        <v>742</v>
      </c>
    </row>
    <row r="123" spans="17:17" x14ac:dyDescent="0.25">
      <c r="Q123" t="s">
        <v>743</v>
      </c>
    </row>
    <row r="124" spans="17:17" x14ac:dyDescent="0.25">
      <c r="Q124" t="s">
        <v>744</v>
      </c>
    </row>
    <row r="125" spans="17:17" x14ac:dyDescent="0.25">
      <c r="Q125" t="s">
        <v>745</v>
      </c>
    </row>
    <row r="126" spans="17:17" x14ac:dyDescent="0.25">
      <c r="Q126" t="s">
        <v>746</v>
      </c>
    </row>
    <row r="127" spans="17:17" x14ac:dyDescent="0.25">
      <c r="Q127" t="s">
        <v>747</v>
      </c>
    </row>
    <row r="128" spans="17:17" x14ac:dyDescent="0.25">
      <c r="Q128" t="s">
        <v>748</v>
      </c>
    </row>
    <row r="129" spans="17:17" x14ac:dyDescent="0.25">
      <c r="Q129" t="s">
        <v>749</v>
      </c>
    </row>
    <row r="130" spans="17:17" x14ac:dyDescent="0.25">
      <c r="Q130" t="s">
        <v>750</v>
      </c>
    </row>
    <row r="131" spans="17:17" x14ac:dyDescent="0.25">
      <c r="Q131" t="s">
        <v>751</v>
      </c>
    </row>
    <row r="132" spans="17:17" x14ac:dyDescent="0.25">
      <c r="Q132" t="s">
        <v>752</v>
      </c>
    </row>
    <row r="133" spans="17:17" x14ac:dyDescent="0.25">
      <c r="Q133" t="s">
        <v>753</v>
      </c>
    </row>
    <row r="134" spans="17:17" x14ac:dyDescent="0.25">
      <c r="Q134" t="s">
        <v>754</v>
      </c>
    </row>
    <row r="135" spans="17:17" x14ac:dyDescent="0.25">
      <c r="Q135" t="s">
        <v>755</v>
      </c>
    </row>
    <row r="136" spans="17:17" x14ac:dyDescent="0.25">
      <c r="Q136" t="s">
        <v>756</v>
      </c>
    </row>
    <row r="137" spans="17:17" x14ac:dyDescent="0.25">
      <c r="Q137" t="s">
        <v>757</v>
      </c>
    </row>
    <row r="138" spans="17:17" x14ac:dyDescent="0.25">
      <c r="Q138" t="s">
        <v>758</v>
      </c>
    </row>
    <row r="139" spans="17:17" x14ac:dyDescent="0.25">
      <c r="Q139" t="s">
        <v>759</v>
      </c>
    </row>
    <row r="140" spans="17:17" x14ac:dyDescent="0.25">
      <c r="Q140" t="s">
        <v>760</v>
      </c>
    </row>
    <row r="141" spans="17:17" x14ac:dyDescent="0.25">
      <c r="Q141" t="s">
        <v>761</v>
      </c>
    </row>
    <row r="142" spans="17:17" x14ac:dyDescent="0.25">
      <c r="Q142" t="s">
        <v>762</v>
      </c>
    </row>
    <row r="143" spans="17:17" x14ac:dyDescent="0.25">
      <c r="Q143" t="s">
        <v>763</v>
      </c>
    </row>
    <row r="144" spans="17:17" x14ac:dyDescent="0.25">
      <c r="Q144" t="s">
        <v>764</v>
      </c>
    </row>
    <row r="145" spans="17:17" x14ac:dyDescent="0.25">
      <c r="Q145" t="s">
        <v>765</v>
      </c>
    </row>
    <row r="146" spans="17:17" x14ac:dyDescent="0.25">
      <c r="Q146" t="s">
        <v>766</v>
      </c>
    </row>
    <row r="147" spans="17:17" x14ac:dyDescent="0.25">
      <c r="Q147" t="s">
        <v>767</v>
      </c>
    </row>
    <row r="148" spans="17:17" x14ac:dyDescent="0.25">
      <c r="Q148" t="s">
        <v>768</v>
      </c>
    </row>
    <row r="149" spans="17:17" x14ac:dyDescent="0.25">
      <c r="Q149" t="s">
        <v>769</v>
      </c>
    </row>
    <row r="150" spans="17:17" x14ac:dyDescent="0.25">
      <c r="Q150" t="s">
        <v>770</v>
      </c>
    </row>
    <row r="151" spans="17:17" x14ac:dyDescent="0.25">
      <c r="Q151" t="s">
        <v>771</v>
      </c>
    </row>
    <row r="152" spans="17:17" x14ac:dyDescent="0.25">
      <c r="Q152" t="s">
        <v>772</v>
      </c>
    </row>
    <row r="153" spans="17:17" x14ac:dyDescent="0.25">
      <c r="Q153" t="s">
        <v>773</v>
      </c>
    </row>
    <row r="154" spans="17:17" x14ac:dyDescent="0.25">
      <c r="Q154" t="s">
        <v>774</v>
      </c>
    </row>
    <row r="155" spans="17:17" x14ac:dyDescent="0.25">
      <c r="Q155" t="s">
        <v>775</v>
      </c>
    </row>
    <row r="156" spans="17:17" x14ac:dyDescent="0.25">
      <c r="Q156" t="s">
        <v>776</v>
      </c>
    </row>
    <row r="157" spans="17:17" x14ac:dyDescent="0.25">
      <c r="Q157" t="s">
        <v>777</v>
      </c>
    </row>
    <row r="158" spans="17:17" x14ac:dyDescent="0.25">
      <c r="Q158" t="s">
        <v>778</v>
      </c>
    </row>
    <row r="159" spans="17:17" x14ac:dyDescent="0.25">
      <c r="Q159" t="s">
        <v>779</v>
      </c>
    </row>
    <row r="160" spans="17:17" x14ac:dyDescent="0.25">
      <c r="Q160" t="s">
        <v>780</v>
      </c>
    </row>
    <row r="161" spans="17:17" x14ac:dyDescent="0.25">
      <c r="Q161" t="s">
        <v>781</v>
      </c>
    </row>
    <row r="162" spans="17:17" x14ac:dyDescent="0.25">
      <c r="Q162" t="s">
        <v>782</v>
      </c>
    </row>
    <row r="163" spans="17:17" x14ac:dyDescent="0.25">
      <c r="Q163" t="s">
        <v>783</v>
      </c>
    </row>
    <row r="164" spans="17:17" x14ac:dyDescent="0.25">
      <c r="Q164" t="s">
        <v>784</v>
      </c>
    </row>
    <row r="165" spans="17:17" x14ac:dyDescent="0.25">
      <c r="Q165" t="s">
        <v>785</v>
      </c>
    </row>
    <row r="166" spans="17:17" x14ac:dyDescent="0.25">
      <c r="Q166" t="s">
        <v>786</v>
      </c>
    </row>
    <row r="167" spans="17:17" x14ac:dyDescent="0.25">
      <c r="Q167" t="s">
        <v>787</v>
      </c>
    </row>
    <row r="168" spans="17:17" x14ac:dyDescent="0.25">
      <c r="Q168" t="s">
        <v>788</v>
      </c>
    </row>
    <row r="169" spans="17:17" x14ac:dyDescent="0.25">
      <c r="Q169" t="s">
        <v>789</v>
      </c>
    </row>
    <row r="170" spans="17:17" x14ac:dyDescent="0.25">
      <c r="Q170" t="s">
        <v>790</v>
      </c>
    </row>
    <row r="171" spans="17:17" x14ac:dyDescent="0.25">
      <c r="Q171" t="s">
        <v>791</v>
      </c>
    </row>
    <row r="172" spans="17:17" x14ac:dyDescent="0.25">
      <c r="Q172" t="s">
        <v>792</v>
      </c>
    </row>
    <row r="173" spans="17:17" x14ac:dyDescent="0.25">
      <c r="Q173" t="s">
        <v>793</v>
      </c>
    </row>
    <row r="174" spans="17:17" x14ac:dyDescent="0.25">
      <c r="Q174" t="s">
        <v>794</v>
      </c>
    </row>
    <row r="175" spans="17:17" x14ac:dyDescent="0.25">
      <c r="Q175" t="s">
        <v>795</v>
      </c>
    </row>
    <row r="176" spans="17:17" x14ac:dyDescent="0.25">
      <c r="Q176" t="s">
        <v>796</v>
      </c>
    </row>
    <row r="177" spans="17:17" x14ac:dyDescent="0.25">
      <c r="Q177" t="s">
        <v>797</v>
      </c>
    </row>
    <row r="178" spans="17:17" x14ac:dyDescent="0.25">
      <c r="Q178" t="s">
        <v>798</v>
      </c>
    </row>
    <row r="179" spans="17:17" x14ac:dyDescent="0.25">
      <c r="Q179" t="s">
        <v>799</v>
      </c>
    </row>
    <row r="180" spans="17:17" x14ac:dyDescent="0.25">
      <c r="Q180" t="s">
        <v>800</v>
      </c>
    </row>
    <row r="181" spans="17:17" x14ac:dyDescent="0.25">
      <c r="Q181" t="s">
        <v>801</v>
      </c>
    </row>
    <row r="182" spans="17:17" x14ac:dyDescent="0.25">
      <c r="Q182" t="s">
        <v>802</v>
      </c>
    </row>
    <row r="183" spans="17:17" x14ac:dyDescent="0.25">
      <c r="Q183" t="s">
        <v>803</v>
      </c>
    </row>
    <row r="184" spans="17:17" x14ac:dyDescent="0.25">
      <c r="Q184" t="s">
        <v>804</v>
      </c>
    </row>
    <row r="185" spans="17:17" x14ac:dyDescent="0.25">
      <c r="Q185" t="s">
        <v>805</v>
      </c>
    </row>
    <row r="186" spans="17:17" x14ac:dyDescent="0.25">
      <c r="Q186" t="s">
        <v>806</v>
      </c>
    </row>
    <row r="187" spans="17:17" x14ac:dyDescent="0.25">
      <c r="Q187" t="s">
        <v>807</v>
      </c>
    </row>
    <row r="188" spans="17:17" x14ac:dyDescent="0.25">
      <c r="Q188" t="s">
        <v>808</v>
      </c>
    </row>
    <row r="189" spans="17:17" x14ac:dyDescent="0.25">
      <c r="Q189" t="s">
        <v>809</v>
      </c>
    </row>
    <row r="190" spans="17:17" x14ac:dyDescent="0.25">
      <c r="Q190" t="s">
        <v>810</v>
      </c>
    </row>
    <row r="191" spans="17:17" x14ac:dyDescent="0.25">
      <c r="Q191" t="s">
        <v>811</v>
      </c>
    </row>
    <row r="192" spans="17:17" x14ac:dyDescent="0.25">
      <c r="Q192" t="s">
        <v>812</v>
      </c>
    </row>
    <row r="193" spans="17:17" x14ac:dyDescent="0.25">
      <c r="Q193" t="s">
        <v>813</v>
      </c>
    </row>
    <row r="194" spans="17:17" x14ac:dyDescent="0.25">
      <c r="Q194" t="s">
        <v>814</v>
      </c>
    </row>
    <row r="195" spans="17:17" x14ac:dyDescent="0.25">
      <c r="Q195" t="s">
        <v>815</v>
      </c>
    </row>
    <row r="196" spans="17:17" x14ac:dyDescent="0.25">
      <c r="Q196" t="s">
        <v>816</v>
      </c>
    </row>
    <row r="197" spans="17:17" x14ac:dyDescent="0.25">
      <c r="Q197" t="s">
        <v>817</v>
      </c>
    </row>
    <row r="198" spans="17:17" x14ac:dyDescent="0.25">
      <c r="Q198" t="s">
        <v>818</v>
      </c>
    </row>
    <row r="199" spans="17:17" x14ac:dyDescent="0.25">
      <c r="Q199" t="s">
        <v>819</v>
      </c>
    </row>
    <row r="200" spans="17:17" x14ac:dyDescent="0.25">
      <c r="Q200" t="s">
        <v>820</v>
      </c>
    </row>
    <row r="201" spans="17:17" x14ac:dyDescent="0.25">
      <c r="Q201" t="s">
        <v>821</v>
      </c>
    </row>
    <row r="202" spans="17:17" x14ac:dyDescent="0.25">
      <c r="Q202" t="s">
        <v>822</v>
      </c>
    </row>
    <row r="203" spans="17:17" x14ac:dyDescent="0.25">
      <c r="Q203" t="s">
        <v>823</v>
      </c>
    </row>
    <row r="204" spans="17:17" x14ac:dyDescent="0.25">
      <c r="Q204" t="s">
        <v>824</v>
      </c>
    </row>
    <row r="205" spans="17:17" x14ac:dyDescent="0.25">
      <c r="Q205" t="s">
        <v>825</v>
      </c>
    </row>
    <row r="206" spans="17:17" x14ac:dyDescent="0.25">
      <c r="Q206" t="s">
        <v>826</v>
      </c>
    </row>
    <row r="207" spans="17:17" x14ac:dyDescent="0.25">
      <c r="Q207" t="s">
        <v>827</v>
      </c>
    </row>
    <row r="208" spans="17:17" x14ac:dyDescent="0.25">
      <c r="Q208" t="s">
        <v>828</v>
      </c>
    </row>
    <row r="209" spans="17:17" x14ac:dyDescent="0.25">
      <c r="Q209" t="s">
        <v>829</v>
      </c>
    </row>
    <row r="210" spans="17:17" x14ac:dyDescent="0.25">
      <c r="Q210" t="s">
        <v>830</v>
      </c>
    </row>
    <row r="211" spans="17:17" x14ac:dyDescent="0.25">
      <c r="Q211" t="s">
        <v>831</v>
      </c>
    </row>
    <row r="212" spans="17:17" x14ac:dyDescent="0.25">
      <c r="Q212" t="s">
        <v>832</v>
      </c>
    </row>
    <row r="213" spans="17:17" x14ac:dyDescent="0.25">
      <c r="Q213" t="s">
        <v>833</v>
      </c>
    </row>
    <row r="214" spans="17:17" x14ac:dyDescent="0.25">
      <c r="Q214" t="s">
        <v>834</v>
      </c>
    </row>
    <row r="215" spans="17:17" x14ac:dyDescent="0.25">
      <c r="Q215" t="s">
        <v>835</v>
      </c>
    </row>
    <row r="216" spans="17:17" x14ac:dyDescent="0.25">
      <c r="Q216" t="s">
        <v>836</v>
      </c>
    </row>
    <row r="217" spans="17:17" x14ac:dyDescent="0.25">
      <c r="Q217" t="s">
        <v>837</v>
      </c>
    </row>
    <row r="218" spans="17:17" x14ac:dyDescent="0.25">
      <c r="Q218" t="s">
        <v>838</v>
      </c>
    </row>
    <row r="219" spans="17:17" x14ac:dyDescent="0.25">
      <c r="Q219" t="s">
        <v>839</v>
      </c>
    </row>
    <row r="220" spans="17:17" x14ac:dyDescent="0.25">
      <c r="Q220" t="s">
        <v>840</v>
      </c>
    </row>
    <row r="221" spans="17:17" x14ac:dyDescent="0.25">
      <c r="Q221" t="s">
        <v>841</v>
      </c>
    </row>
    <row r="222" spans="17:17" x14ac:dyDescent="0.25">
      <c r="Q222" t="s">
        <v>842</v>
      </c>
    </row>
    <row r="223" spans="17:17" x14ac:dyDescent="0.25">
      <c r="Q223" t="s">
        <v>843</v>
      </c>
    </row>
    <row r="224" spans="17:17" x14ac:dyDescent="0.25">
      <c r="Q224" t="s">
        <v>844</v>
      </c>
    </row>
    <row r="225" spans="17:17" x14ac:dyDescent="0.25">
      <c r="Q225" t="s">
        <v>845</v>
      </c>
    </row>
    <row r="226" spans="17:17" x14ac:dyDescent="0.25">
      <c r="Q226" t="s">
        <v>846</v>
      </c>
    </row>
    <row r="227" spans="17:17" x14ac:dyDescent="0.25">
      <c r="Q227" t="s">
        <v>847</v>
      </c>
    </row>
    <row r="228" spans="17:17" x14ac:dyDescent="0.25">
      <c r="Q228" t="s">
        <v>848</v>
      </c>
    </row>
    <row r="229" spans="17:17" x14ac:dyDescent="0.25">
      <c r="Q229" t="s">
        <v>849</v>
      </c>
    </row>
  </sheetData>
  <sortState xmlns:xlrd2="http://schemas.microsoft.com/office/spreadsheetml/2017/richdata2" ref="E4:F90">
    <sortCondition ref="F4:F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Z2A_T_PAY_BLOCK</vt:lpstr>
      <vt:lpstr>Sheet2</vt:lpstr>
      <vt:lpstr>ZCY_TAB_RRP_E</vt:lpstr>
      <vt:lpstr>RRP_E New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2026-10-02T12:35:04Z</dcterms:created>
  <dcterms:modified xsi:type="dcterms:W3CDTF">2026-10-21T18:17:28Z</dcterms:modified>
</cp:coreProperties>
</file>