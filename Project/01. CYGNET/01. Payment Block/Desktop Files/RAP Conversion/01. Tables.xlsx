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. Daily (21-Mar-26) - 6GB\VSCode\Project\01. Payment Block\Desktop Files\RAP Conversion\"/>
    </mc:Choice>
  </mc:AlternateContent>
  <xr:revisionPtr revIDLastSave="0" documentId="13_ncr:1_{2F324F61-6E5A-4359-BE51-30B8D3678432}" xr6:coauthVersionLast="47" xr6:coauthVersionMax="47" xr10:uidLastSave="{00000000-0000-0000-0000-000000000000}"/>
  <bookViews>
    <workbookView xWindow="-120" yWindow="-120" windowWidth="24240" windowHeight="13020" tabRatio="760" activeTab="2" xr2:uid="{9C93B85F-C357-42EB-A221-D69E92FACD24}"/>
  </bookViews>
  <sheets>
    <sheet name="Z2A_T_PAY_BLOCK" sheetId="1" r:id="rId1"/>
    <sheet name="Resolved DataType" sheetId="8" r:id="rId2"/>
    <sheet name="ZCY_TAB_RRP_E" sheetId="7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" i="7" l="1"/>
  <c r="V10" i="7" s="1"/>
  <c r="W11" i="7"/>
  <c r="V11" i="7" s="1"/>
  <c r="W12" i="7"/>
  <c r="V12" i="7" s="1"/>
  <c r="W13" i="7"/>
  <c r="V13" i="7" s="1"/>
  <c r="W14" i="7"/>
  <c r="V14" i="7" s="1"/>
  <c r="W15" i="7"/>
  <c r="V15" i="7" s="1"/>
  <c r="W16" i="7"/>
  <c r="V16" i="7" s="1"/>
  <c r="W17" i="7"/>
  <c r="V17" i="7" s="1"/>
  <c r="W18" i="7"/>
  <c r="V18" i="7" s="1"/>
  <c r="W19" i="7"/>
  <c r="V19" i="7" s="1"/>
  <c r="W20" i="7"/>
  <c r="V20" i="7" s="1"/>
  <c r="W21" i="7"/>
  <c r="V21" i="7" s="1"/>
  <c r="W22" i="7"/>
  <c r="V22" i="7" s="1"/>
  <c r="W23" i="7"/>
  <c r="V23" i="7" s="1"/>
  <c r="W24" i="7"/>
  <c r="V24" i="7" s="1"/>
  <c r="W25" i="7"/>
  <c r="V25" i="7" s="1"/>
  <c r="W26" i="7"/>
  <c r="V26" i="7" s="1"/>
  <c r="W27" i="7"/>
  <c r="V27" i="7" s="1"/>
  <c r="W28" i="7"/>
  <c r="V28" i="7" s="1"/>
  <c r="W29" i="7"/>
  <c r="V29" i="7" s="1"/>
  <c r="W30" i="7"/>
  <c r="V30" i="7" s="1"/>
  <c r="W31" i="7"/>
  <c r="V31" i="7" s="1"/>
  <c r="W32" i="7"/>
  <c r="V32" i="7" s="1"/>
  <c r="W33" i="7"/>
  <c r="V33" i="7" s="1"/>
  <c r="W34" i="7"/>
  <c r="V34" i="7" s="1"/>
  <c r="W35" i="7"/>
  <c r="V35" i="7" s="1"/>
  <c r="W36" i="7"/>
  <c r="V36" i="7" s="1"/>
  <c r="W37" i="7"/>
  <c r="V37" i="7" s="1"/>
  <c r="W38" i="7"/>
  <c r="V38" i="7" s="1"/>
  <c r="W39" i="7"/>
  <c r="V39" i="7" s="1"/>
  <c r="W40" i="7"/>
  <c r="V40" i="7" s="1"/>
  <c r="W41" i="7"/>
  <c r="V41" i="7" s="1"/>
  <c r="W42" i="7"/>
  <c r="V42" i="7" s="1"/>
  <c r="W43" i="7"/>
  <c r="V43" i="7" s="1"/>
  <c r="W44" i="7"/>
  <c r="V44" i="7" s="1"/>
  <c r="W45" i="7"/>
  <c r="V45" i="7" s="1"/>
  <c r="W46" i="7"/>
  <c r="V46" i="7" s="1"/>
  <c r="W47" i="7"/>
  <c r="V47" i="7" s="1"/>
  <c r="W48" i="7"/>
  <c r="V48" i="7" s="1"/>
  <c r="W49" i="7"/>
  <c r="V49" i="7" s="1"/>
  <c r="W50" i="7"/>
  <c r="V50" i="7" s="1"/>
  <c r="W51" i="7"/>
  <c r="V51" i="7" s="1"/>
  <c r="W52" i="7"/>
  <c r="V52" i="7" s="1"/>
  <c r="W53" i="7"/>
  <c r="V53" i="7" s="1"/>
  <c r="W54" i="7"/>
  <c r="V54" i="7" s="1"/>
  <c r="W55" i="7"/>
  <c r="V55" i="7" s="1"/>
  <c r="W56" i="7"/>
  <c r="V56" i="7" s="1"/>
  <c r="W57" i="7"/>
  <c r="V57" i="7" s="1"/>
  <c r="W58" i="7"/>
  <c r="V58" i="7" s="1"/>
  <c r="W59" i="7"/>
  <c r="V59" i="7" s="1"/>
  <c r="W60" i="7"/>
  <c r="V60" i="7" s="1"/>
  <c r="W61" i="7"/>
  <c r="V61" i="7" s="1"/>
  <c r="W62" i="7"/>
  <c r="V62" i="7" s="1"/>
  <c r="W63" i="7"/>
  <c r="V63" i="7" s="1"/>
  <c r="W64" i="7"/>
  <c r="V64" i="7" s="1"/>
  <c r="W65" i="7"/>
  <c r="V65" i="7" s="1"/>
  <c r="W66" i="7"/>
  <c r="V66" i="7" s="1"/>
  <c r="W67" i="7"/>
  <c r="V67" i="7" s="1"/>
  <c r="W68" i="7"/>
  <c r="V68" i="7" s="1"/>
  <c r="W69" i="7"/>
  <c r="V69" i="7" s="1"/>
  <c r="W70" i="7"/>
  <c r="V70" i="7" s="1"/>
  <c r="W71" i="7"/>
  <c r="V71" i="7" s="1"/>
  <c r="W72" i="7"/>
  <c r="V72" i="7" s="1"/>
  <c r="W73" i="7"/>
  <c r="V73" i="7" s="1"/>
  <c r="W74" i="7"/>
  <c r="V74" i="7" s="1"/>
  <c r="W75" i="7"/>
  <c r="V75" i="7" s="1"/>
  <c r="W76" i="7"/>
  <c r="V76" i="7" s="1"/>
  <c r="W77" i="7"/>
  <c r="V77" i="7" s="1"/>
  <c r="W78" i="7"/>
  <c r="V78" i="7" s="1"/>
  <c r="W79" i="7"/>
  <c r="V79" i="7" s="1"/>
  <c r="W80" i="7"/>
  <c r="V80" i="7" s="1"/>
  <c r="W81" i="7"/>
  <c r="V81" i="7" s="1"/>
  <c r="W82" i="7"/>
  <c r="V82" i="7" s="1"/>
  <c r="W83" i="7"/>
  <c r="V83" i="7" s="1"/>
  <c r="W84" i="7"/>
  <c r="V84" i="7" s="1"/>
  <c r="W85" i="7"/>
  <c r="V85" i="7" s="1"/>
  <c r="W86" i="7"/>
  <c r="V86" i="7" s="1"/>
  <c r="W87" i="7"/>
  <c r="V87" i="7" s="1"/>
  <c r="W88" i="7"/>
  <c r="V88" i="7" s="1"/>
  <c r="W89" i="7"/>
  <c r="V89" i="7" s="1"/>
  <c r="W90" i="7"/>
  <c r="V90" i="7" s="1"/>
  <c r="W91" i="7"/>
  <c r="V91" i="7" s="1"/>
  <c r="W92" i="7"/>
  <c r="V92" i="7" s="1"/>
  <c r="W93" i="7"/>
  <c r="V93" i="7" s="1"/>
  <c r="W94" i="7"/>
  <c r="V94" i="7" s="1"/>
  <c r="W95" i="7"/>
  <c r="V95" i="7" s="1"/>
  <c r="W96" i="7"/>
  <c r="V96" i="7" s="1"/>
  <c r="W97" i="7"/>
  <c r="V97" i="7" s="1"/>
  <c r="W98" i="7"/>
  <c r="V98" i="7" s="1"/>
  <c r="W99" i="7"/>
  <c r="V99" i="7" s="1"/>
  <c r="W100" i="7"/>
  <c r="V100" i="7" s="1"/>
  <c r="W101" i="7"/>
  <c r="V101" i="7" s="1"/>
  <c r="W102" i="7"/>
  <c r="V102" i="7" s="1"/>
  <c r="W103" i="7"/>
  <c r="V103" i="7" s="1"/>
  <c r="W104" i="7"/>
  <c r="V104" i="7" s="1"/>
  <c r="W105" i="7"/>
  <c r="V105" i="7" s="1"/>
  <c r="W106" i="7"/>
  <c r="V106" i="7" s="1"/>
  <c r="W107" i="7"/>
  <c r="V107" i="7" s="1"/>
  <c r="W108" i="7"/>
  <c r="V108" i="7" s="1"/>
  <c r="W109" i="7"/>
  <c r="V109" i="7" s="1"/>
  <c r="W110" i="7"/>
  <c r="V110" i="7" s="1"/>
  <c r="W111" i="7"/>
  <c r="V111" i="7" s="1"/>
  <c r="W112" i="7"/>
  <c r="V112" i="7" s="1"/>
  <c r="W113" i="7"/>
  <c r="V113" i="7" s="1"/>
  <c r="W114" i="7"/>
  <c r="V114" i="7" s="1"/>
  <c r="W115" i="7"/>
  <c r="V115" i="7" s="1"/>
  <c r="W116" i="7"/>
  <c r="V116" i="7" s="1"/>
  <c r="W117" i="7"/>
  <c r="V117" i="7" s="1"/>
  <c r="W118" i="7"/>
  <c r="V118" i="7" s="1"/>
  <c r="W119" i="7"/>
  <c r="V119" i="7" s="1"/>
  <c r="W120" i="7"/>
  <c r="V120" i="7" s="1"/>
  <c r="W121" i="7"/>
  <c r="V121" i="7" s="1"/>
  <c r="W122" i="7"/>
  <c r="V122" i="7" s="1"/>
  <c r="W123" i="7"/>
  <c r="V123" i="7" s="1"/>
  <c r="W124" i="7"/>
  <c r="V124" i="7" s="1"/>
  <c r="W125" i="7"/>
  <c r="V125" i="7" s="1"/>
  <c r="W126" i="7"/>
  <c r="V126" i="7" s="1"/>
  <c r="W127" i="7"/>
  <c r="V127" i="7" s="1"/>
  <c r="W128" i="7"/>
  <c r="V128" i="7" s="1"/>
  <c r="W129" i="7"/>
  <c r="V129" i="7" s="1"/>
  <c r="W130" i="7"/>
  <c r="V130" i="7" s="1"/>
  <c r="W131" i="7"/>
  <c r="V131" i="7" s="1"/>
  <c r="W132" i="7"/>
  <c r="V132" i="7" s="1"/>
  <c r="W133" i="7"/>
  <c r="V133" i="7" s="1"/>
  <c r="W134" i="7"/>
  <c r="V134" i="7" s="1"/>
  <c r="W135" i="7"/>
  <c r="V135" i="7" s="1"/>
  <c r="W136" i="7"/>
  <c r="V136" i="7" s="1"/>
  <c r="W137" i="7"/>
  <c r="V137" i="7" s="1"/>
  <c r="W138" i="7"/>
  <c r="V138" i="7" s="1"/>
  <c r="W139" i="7"/>
  <c r="V139" i="7" s="1"/>
  <c r="W140" i="7"/>
  <c r="V140" i="7" s="1"/>
  <c r="W141" i="7"/>
  <c r="V141" i="7" s="1"/>
  <c r="W142" i="7"/>
  <c r="V142" i="7" s="1"/>
  <c r="W143" i="7"/>
  <c r="V143" i="7" s="1"/>
  <c r="W144" i="7"/>
  <c r="V144" i="7" s="1"/>
  <c r="W145" i="7"/>
  <c r="V145" i="7" s="1"/>
  <c r="W146" i="7"/>
  <c r="V146" i="7" s="1"/>
  <c r="W147" i="7"/>
  <c r="V147" i="7" s="1"/>
  <c r="W148" i="7"/>
  <c r="V148" i="7" s="1"/>
  <c r="W149" i="7"/>
  <c r="V149" i="7" s="1"/>
  <c r="W150" i="7"/>
  <c r="V150" i="7" s="1"/>
  <c r="W151" i="7"/>
  <c r="V151" i="7" s="1"/>
  <c r="W152" i="7"/>
  <c r="V152" i="7" s="1"/>
  <c r="W153" i="7"/>
  <c r="V153" i="7" s="1"/>
  <c r="W154" i="7"/>
  <c r="V154" i="7" s="1"/>
  <c r="W155" i="7"/>
  <c r="V155" i="7" s="1"/>
  <c r="W156" i="7"/>
  <c r="V156" i="7" s="1"/>
  <c r="W157" i="7"/>
  <c r="V157" i="7" s="1"/>
  <c r="W158" i="7"/>
  <c r="V158" i="7" s="1"/>
  <c r="W159" i="7"/>
  <c r="V159" i="7" s="1"/>
  <c r="W160" i="7"/>
  <c r="V160" i="7" s="1"/>
  <c r="W161" i="7"/>
  <c r="V161" i="7" s="1"/>
  <c r="W162" i="7"/>
  <c r="V162" i="7" s="1"/>
  <c r="W163" i="7"/>
  <c r="V163" i="7" s="1"/>
  <c r="W164" i="7"/>
  <c r="V164" i="7" s="1"/>
  <c r="W165" i="7"/>
  <c r="V165" i="7" s="1"/>
  <c r="W166" i="7"/>
  <c r="V166" i="7" s="1"/>
  <c r="W167" i="7"/>
  <c r="V167" i="7" s="1"/>
  <c r="W168" i="7"/>
  <c r="V168" i="7" s="1"/>
  <c r="W169" i="7"/>
  <c r="V169" i="7" s="1"/>
  <c r="W170" i="7"/>
  <c r="V170" i="7" s="1"/>
  <c r="W171" i="7"/>
  <c r="V171" i="7" s="1"/>
  <c r="W172" i="7"/>
  <c r="V172" i="7" s="1"/>
  <c r="W173" i="7"/>
  <c r="V173" i="7" s="1"/>
  <c r="W174" i="7"/>
  <c r="V174" i="7" s="1"/>
  <c r="W175" i="7"/>
  <c r="V175" i="7" s="1"/>
  <c r="W176" i="7"/>
  <c r="V176" i="7" s="1"/>
  <c r="W177" i="7"/>
  <c r="V177" i="7" s="1"/>
  <c r="W178" i="7"/>
  <c r="V178" i="7" s="1"/>
  <c r="W179" i="7"/>
  <c r="V179" i="7" s="1"/>
  <c r="W180" i="7"/>
  <c r="V180" i="7" s="1"/>
  <c r="W181" i="7"/>
  <c r="V181" i="7" s="1"/>
  <c r="W182" i="7"/>
  <c r="V182" i="7" s="1"/>
  <c r="W183" i="7"/>
  <c r="V183" i="7" s="1"/>
  <c r="W184" i="7"/>
  <c r="V184" i="7" s="1"/>
  <c r="W185" i="7"/>
  <c r="V185" i="7" s="1"/>
  <c r="W186" i="7"/>
  <c r="V186" i="7" s="1"/>
  <c r="W187" i="7"/>
  <c r="V187" i="7" s="1"/>
  <c r="W188" i="7"/>
  <c r="V188" i="7" s="1"/>
  <c r="W189" i="7"/>
  <c r="V189" i="7" s="1"/>
  <c r="W190" i="7"/>
  <c r="V190" i="7" s="1"/>
  <c r="W191" i="7"/>
  <c r="V191" i="7" s="1"/>
  <c r="W192" i="7"/>
  <c r="V192" i="7" s="1"/>
  <c r="W193" i="7"/>
  <c r="V193" i="7" s="1"/>
  <c r="W194" i="7"/>
  <c r="V194" i="7" s="1"/>
  <c r="W195" i="7"/>
  <c r="V195" i="7" s="1"/>
  <c r="W196" i="7"/>
  <c r="V196" i="7" s="1"/>
  <c r="W197" i="7"/>
  <c r="V197" i="7" s="1"/>
  <c r="W198" i="7"/>
  <c r="V198" i="7" s="1"/>
  <c r="W199" i="7"/>
  <c r="V199" i="7" s="1"/>
  <c r="W200" i="7"/>
  <c r="V200" i="7" s="1"/>
  <c r="W201" i="7"/>
  <c r="V201" i="7" s="1"/>
  <c r="W202" i="7"/>
  <c r="V202" i="7" s="1"/>
  <c r="W203" i="7"/>
  <c r="V203" i="7" s="1"/>
  <c r="W204" i="7"/>
  <c r="V204" i="7" s="1"/>
  <c r="W205" i="7"/>
  <c r="V205" i="7" s="1"/>
  <c r="W206" i="7"/>
  <c r="V206" i="7" s="1"/>
  <c r="W207" i="7"/>
  <c r="V207" i="7" s="1"/>
  <c r="W208" i="7"/>
  <c r="V208" i="7" s="1"/>
  <c r="W209" i="7"/>
  <c r="V209" i="7" s="1"/>
  <c r="W210" i="7"/>
  <c r="V210" i="7" s="1"/>
  <c r="W211" i="7"/>
  <c r="V211" i="7" s="1"/>
  <c r="W212" i="7"/>
  <c r="V212" i="7" s="1"/>
  <c r="W213" i="7"/>
  <c r="V213" i="7" s="1"/>
  <c r="W214" i="7"/>
  <c r="V214" i="7" s="1"/>
  <c r="W215" i="7"/>
  <c r="V215" i="7" s="1"/>
  <c r="W216" i="7"/>
  <c r="V216" i="7" s="1"/>
  <c r="W217" i="7"/>
  <c r="V217" i="7" s="1"/>
  <c r="W218" i="7"/>
  <c r="V218" i="7" s="1"/>
  <c r="W219" i="7"/>
  <c r="V219" i="7" s="1"/>
  <c r="W220" i="7"/>
  <c r="V220" i="7" s="1"/>
  <c r="W221" i="7"/>
  <c r="V221" i="7" s="1"/>
  <c r="W222" i="7"/>
  <c r="V222" i="7" s="1"/>
  <c r="W223" i="7"/>
  <c r="V223" i="7" s="1"/>
  <c r="W224" i="7"/>
  <c r="V224" i="7" s="1"/>
  <c r="W225" i="7"/>
  <c r="V225" i="7" s="1"/>
  <c r="W226" i="7"/>
  <c r="V226" i="7" s="1"/>
  <c r="W227" i="7"/>
  <c r="V227" i="7" s="1"/>
  <c r="W228" i="7"/>
  <c r="V228" i="7" s="1"/>
  <c r="W229" i="7"/>
  <c r="V229" i="7" s="1"/>
  <c r="W230" i="7"/>
  <c r="V230" i="7" s="1"/>
  <c r="W231" i="7"/>
  <c r="V231" i="7" s="1"/>
  <c r="W232" i="7"/>
  <c r="V232" i="7" s="1"/>
  <c r="W233" i="7"/>
  <c r="V233" i="7" s="1"/>
  <c r="W234" i="7"/>
  <c r="V234" i="7" s="1"/>
  <c r="W235" i="7"/>
  <c r="V235" i="7" s="1"/>
  <c r="W236" i="7"/>
  <c r="V236" i="7" s="1"/>
  <c r="W237" i="7"/>
  <c r="V237" i="7" s="1"/>
  <c r="W238" i="7"/>
  <c r="V238" i="7" s="1"/>
  <c r="W239" i="7"/>
  <c r="V239" i="7" s="1"/>
  <c r="W240" i="7"/>
  <c r="V240" i="7" s="1"/>
  <c r="W241" i="7"/>
  <c r="V241" i="7" s="1"/>
  <c r="W242" i="7"/>
  <c r="V242" i="7" s="1"/>
  <c r="W243" i="7"/>
  <c r="V243" i="7" s="1"/>
  <c r="W244" i="7"/>
  <c r="V244" i="7" s="1"/>
  <c r="W245" i="7"/>
  <c r="V245" i="7" s="1"/>
  <c r="W246" i="7"/>
  <c r="V246" i="7" s="1"/>
  <c r="W247" i="7"/>
  <c r="V247" i="7" s="1"/>
  <c r="W248" i="7"/>
  <c r="V248" i="7" s="1"/>
  <c r="W249" i="7"/>
  <c r="V249" i="7" s="1"/>
  <c r="W250" i="7"/>
  <c r="V250" i="7" s="1"/>
  <c r="W251" i="7"/>
  <c r="V251" i="7" s="1"/>
  <c r="W252" i="7"/>
  <c r="V252" i="7" s="1"/>
  <c r="W253" i="7"/>
  <c r="V253" i="7" s="1"/>
  <c r="W254" i="7"/>
  <c r="V254" i="7" s="1"/>
  <c r="W255" i="7"/>
  <c r="V255" i="7" s="1"/>
  <c r="W256" i="7"/>
  <c r="V256" i="7" s="1"/>
  <c r="W257" i="7"/>
  <c r="V257" i="7" s="1"/>
  <c r="W258" i="7"/>
  <c r="V258" i="7" s="1"/>
  <c r="W259" i="7"/>
  <c r="V259" i="7" s="1"/>
  <c r="W260" i="7"/>
  <c r="V260" i="7" s="1"/>
  <c r="W261" i="7"/>
  <c r="V261" i="7" s="1"/>
  <c r="W262" i="7"/>
  <c r="V262" i="7" s="1"/>
  <c r="W263" i="7"/>
  <c r="V263" i="7" s="1"/>
  <c r="W264" i="7"/>
  <c r="V264" i="7" s="1"/>
  <c r="W265" i="7"/>
  <c r="V265" i="7" s="1"/>
  <c r="W266" i="7"/>
  <c r="V266" i="7" s="1"/>
  <c r="W267" i="7"/>
  <c r="V267" i="7" s="1"/>
  <c r="R10" i="7"/>
  <c r="S10" i="7"/>
  <c r="R11" i="7"/>
  <c r="S11" i="7"/>
  <c r="R12" i="7"/>
  <c r="S12" i="7"/>
  <c r="R13" i="7"/>
  <c r="S13" i="7"/>
  <c r="R14" i="7"/>
  <c r="S14" i="7"/>
  <c r="R15" i="7"/>
  <c r="S15" i="7"/>
  <c r="R16" i="7"/>
  <c r="S16" i="7"/>
  <c r="R17" i="7"/>
  <c r="S17" i="7"/>
  <c r="R18" i="7"/>
  <c r="S18" i="7"/>
  <c r="R19" i="7"/>
  <c r="S19" i="7"/>
  <c r="R20" i="7"/>
  <c r="S20" i="7"/>
  <c r="R21" i="7"/>
  <c r="S21" i="7"/>
  <c r="R22" i="7"/>
  <c r="S22" i="7"/>
  <c r="R23" i="7"/>
  <c r="S23" i="7"/>
  <c r="R24" i="7"/>
  <c r="S24" i="7"/>
  <c r="R25" i="7"/>
  <c r="S25" i="7"/>
  <c r="R26" i="7"/>
  <c r="S26" i="7"/>
  <c r="R27" i="7"/>
  <c r="S27" i="7"/>
  <c r="R28" i="7"/>
  <c r="S28" i="7"/>
  <c r="R29" i="7"/>
  <c r="S29" i="7"/>
  <c r="R30" i="7"/>
  <c r="S30" i="7"/>
  <c r="R31" i="7"/>
  <c r="S31" i="7"/>
  <c r="R32" i="7"/>
  <c r="S32" i="7"/>
  <c r="R33" i="7"/>
  <c r="S33" i="7"/>
  <c r="R34" i="7"/>
  <c r="S34" i="7"/>
  <c r="R35" i="7"/>
  <c r="S35" i="7"/>
  <c r="R36" i="7"/>
  <c r="S36" i="7"/>
  <c r="R37" i="7"/>
  <c r="S37" i="7"/>
  <c r="R38" i="7"/>
  <c r="S38" i="7"/>
  <c r="R39" i="7"/>
  <c r="S39" i="7"/>
  <c r="R40" i="7"/>
  <c r="S40" i="7"/>
  <c r="R41" i="7"/>
  <c r="S41" i="7"/>
  <c r="R42" i="7"/>
  <c r="S42" i="7"/>
  <c r="R43" i="7"/>
  <c r="S43" i="7"/>
  <c r="R44" i="7"/>
  <c r="S44" i="7"/>
  <c r="R45" i="7"/>
  <c r="S45" i="7"/>
  <c r="R46" i="7"/>
  <c r="S46" i="7"/>
  <c r="R47" i="7"/>
  <c r="S47" i="7"/>
  <c r="R48" i="7"/>
  <c r="S48" i="7"/>
  <c r="R49" i="7"/>
  <c r="S49" i="7"/>
  <c r="R50" i="7"/>
  <c r="S50" i="7"/>
  <c r="R51" i="7"/>
  <c r="S51" i="7"/>
  <c r="R52" i="7"/>
  <c r="S52" i="7"/>
  <c r="R53" i="7"/>
  <c r="S53" i="7"/>
  <c r="R54" i="7"/>
  <c r="S54" i="7"/>
  <c r="R55" i="7"/>
  <c r="S55" i="7"/>
  <c r="R56" i="7"/>
  <c r="S56" i="7"/>
  <c r="R57" i="7"/>
  <c r="S57" i="7"/>
  <c r="R58" i="7"/>
  <c r="S58" i="7"/>
  <c r="R59" i="7"/>
  <c r="S59" i="7"/>
  <c r="R60" i="7"/>
  <c r="S60" i="7"/>
  <c r="R61" i="7"/>
  <c r="S61" i="7"/>
  <c r="R62" i="7"/>
  <c r="S62" i="7"/>
  <c r="R63" i="7"/>
  <c r="S63" i="7"/>
  <c r="R64" i="7"/>
  <c r="S64" i="7"/>
  <c r="R65" i="7"/>
  <c r="S65" i="7"/>
  <c r="R66" i="7"/>
  <c r="S66" i="7"/>
  <c r="R67" i="7"/>
  <c r="S67" i="7"/>
  <c r="R68" i="7"/>
  <c r="S68" i="7"/>
  <c r="R69" i="7"/>
  <c r="S69" i="7"/>
  <c r="R70" i="7"/>
  <c r="S70" i="7"/>
  <c r="R71" i="7"/>
  <c r="S71" i="7"/>
  <c r="R72" i="7"/>
  <c r="S72" i="7"/>
  <c r="R73" i="7"/>
  <c r="S73" i="7"/>
  <c r="R74" i="7"/>
  <c r="S74" i="7"/>
  <c r="R75" i="7"/>
  <c r="S75" i="7"/>
  <c r="R76" i="7"/>
  <c r="S76" i="7"/>
  <c r="R77" i="7"/>
  <c r="S77" i="7"/>
  <c r="R78" i="7"/>
  <c r="S78" i="7"/>
  <c r="R79" i="7"/>
  <c r="S79" i="7"/>
  <c r="R80" i="7"/>
  <c r="S80" i="7"/>
  <c r="R81" i="7"/>
  <c r="S81" i="7"/>
  <c r="R82" i="7"/>
  <c r="S82" i="7"/>
  <c r="R83" i="7"/>
  <c r="S83" i="7"/>
  <c r="R84" i="7"/>
  <c r="S84" i="7"/>
  <c r="R85" i="7"/>
  <c r="S85" i="7"/>
  <c r="R86" i="7"/>
  <c r="S86" i="7"/>
  <c r="R87" i="7"/>
  <c r="S87" i="7"/>
  <c r="R88" i="7"/>
  <c r="S88" i="7"/>
  <c r="R89" i="7"/>
  <c r="S89" i="7"/>
  <c r="R90" i="7"/>
  <c r="S90" i="7"/>
  <c r="R91" i="7"/>
  <c r="S91" i="7"/>
  <c r="R92" i="7"/>
  <c r="S92" i="7"/>
  <c r="R93" i="7"/>
  <c r="S93" i="7"/>
  <c r="R94" i="7"/>
  <c r="S94" i="7"/>
  <c r="R95" i="7"/>
  <c r="S95" i="7"/>
  <c r="R96" i="7"/>
  <c r="S96" i="7"/>
  <c r="R97" i="7"/>
  <c r="S97" i="7"/>
  <c r="R98" i="7"/>
  <c r="S98" i="7"/>
  <c r="R99" i="7"/>
  <c r="S99" i="7"/>
  <c r="R100" i="7"/>
  <c r="S100" i="7"/>
  <c r="R101" i="7"/>
  <c r="S101" i="7"/>
  <c r="R102" i="7"/>
  <c r="S102" i="7"/>
  <c r="R103" i="7"/>
  <c r="S103" i="7"/>
  <c r="R104" i="7"/>
  <c r="S104" i="7"/>
  <c r="R105" i="7"/>
  <c r="S105" i="7"/>
  <c r="R106" i="7"/>
  <c r="S106" i="7"/>
  <c r="R107" i="7"/>
  <c r="S107" i="7"/>
  <c r="R108" i="7"/>
  <c r="S108" i="7"/>
  <c r="R109" i="7"/>
  <c r="S109" i="7"/>
  <c r="R110" i="7"/>
  <c r="S110" i="7"/>
  <c r="R111" i="7"/>
  <c r="S111" i="7"/>
  <c r="R112" i="7"/>
  <c r="S112" i="7"/>
  <c r="R113" i="7"/>
  <c r="S113" i="7"/>
  <c r="R114" i="7"/>
  <c r="S114" i="7"/>
  <c r="R115" i="7"/>
  <c r="S115" i="7"/>
  <c r="R116" i="7"/>
  <c r="S116" i="7"/>
  <c r="R117" i="7"/>
  <c r="S117" i="7"/>
  <c r="R118" i="7"/>
  <c r="S118" i="7"/>
  <c r="R119" i="7"/>
  <c r="S119" i="7"/>
  <c r="R120" i="7"/>
  <c r="S120" i="7"/>
  <c r="R121" i="7"/>
  <c r="S121" i="7"/>
  <c r="R122" i="7"/>
  <c r="S122" i="7"/>
  <c r="R123" i="7"/>
  <c r="S123" i="7"/>
  <c r="R124" i="7"/>
  <c r="S124" i="7"/>
  <c r="R125" i="7"/>
  <c r="S125" i="7"/>
  <c r="R126" i="7"/>
  <c r="S126" i="7"/>
  <c r="R127" i="7"/>
  <c r="S127" i="7"/>
  <c r="R128" i="7"/>
  <c r="S128" i="7"/>
  <c r="R129" i="7"/>
  <c r="S129" i="7"/>
  <c r="R130" i="7"/>
  <c r="S130" i="7"/>
  <c r="R131" i="7"/>
  <c r="S131" i="7"/>
  <c r="R132" i="7"/>
  <c r="S132" i="7"/>
  <c r="R133" i="7"/>
  <c r="S133" i="7"/>
  <c r="R134" i="7"/>
  <c r="S134" i="7"/>
  <c r="R135" i="7"/>
  <c r="S135" i="7"/>
  <c r="R136" i="7"/>
  <c r="S136" i="7"/>
  <c r="R137" i="7"/>
  <c r="S137" i="7"/>
  <c r="R138" i="7"/>
  <c r="S138" i="7"/>
  <c r="R139" i="7"/>
  <c r="S139" i="7"/>
  <c r="R140" i="7"/>
  <c r="S140" i="7"/>
  <c r="R141" i="7"/>
  <c r="S141" i="7"/>
  <c r="R142" i="7"/>
  <c r="S142" i="7"/>
  <c r="R143" i="7"/>
  <c r="S143" i="7"/>
  <c r="R144" i="7"/>
  <c r="S144" i="7"/>
  <c r="R145" i="7"/>
  <c r="S145" i="7"/>
  <c r="R146" i="7"/>
  <c r="S146" i="7"/>
  <c r="R147" i="7"/>
  <c r="S147" i="7"/>
  <c r="R148" i="7"/>
  <c r="S148" i="7"/>
  <c r="R149" i="7"/>
  <c r="S149" i="7"/>
  <c r="R150" i="7"/>
  <c r="S150" i="7"/>
  <c r="R151" i="7"/>
  <c r="S151" i="7"/>
  <c r="R152" i="7"/>
  <c r="S152" i="7"/>
  <c r="R153" i="7"/>
  <c r="S153" i="7"/>
  <c r="R154" i="7"/>
  <c r="S154" i="7"/>
  <c r="R155" i="7"/>
  <c r="S155" i="7"/>
  <c r="R156" i="7"/>
  <c r="S156" i="7"/>
  <c r="R157" i="7"/>
  <c r="S157" i="7"/>
  <c r="R158" i="7"/>
  <c r="S158" i="7"/>
  <c r="R159" i="7"/>
  <c r="S159" i="7"/>
  <c r="R160" i="7"/>
  <c r="S160" i="7"/>
  <c r="R161" i="7"/>
  <c r="S161" i="7"/>
  <c r="R162" i="7"/>
  <c r="S162" i="7"/>
  <c r="R163" i="7"/>
  <c r="S163" i="7"/>
  <c r="R164" i="7"/>
  <c r="S164" i="7"/>
  <c r="R165" i="7"/>
  <c r="S165" i="7"/>
  <c r="R166" i="7"/>
  <c r="S166" i="7"/>
  <c r="R167" i="7"/>
  <c r="S167" i="7"/>
  <c r="R168" i="7"/>
  <c r="S168" i="7"/>
  <c r="R169" i="7"/>
  <c r="S169" i="7"/>
  <c r="R170" i="7"/>
  <c r="S170" i="7"/>
  <c r="R171" i="7"/>
  <c r="S171" i="7"/>
  <c r="R172" i="7"/>
  <c r="S172" i="7"/>
  <c r="R173" i="7"/>
  <c r="S173" i="7"/>
  <c r="R174" i="7"/>
  <c r="S174" i="7"/>
  <c r="R175" i="7"/>
  <c r="S175" i="7"/>
  <c r="R176" i="7"/>
  <c r="S176" i="7"/>
  <c r="R177" i="7"/>
  <c r="S177" i="7"/>
  <c r="R178" i="7"/>
  <c r="S178" i="7"/>
  <c r="R179" i="7"/>
  <c r="S179" i="7"/>
  <c r="R180" i="7"/>
  <c r="S180" i="7"/>
  <c r="R181" i="7"/>
  <c r="S181" i="7"/>
  <c r="R182" i="7"/>
  <c r="S182" i="7"/>
  <c r="R183" i="7"/>
  <c r="S183" i="7"/>
  <c r="R184" i="7"/>
  <c r="S184" i="7"/>
  <c r="R185" i="7"/>
  <c r="S185" i="7"/>
  <c r="R186" i="7"/>
  <c r="S186" i="7"/>
  <c r="R187" i="7"/>
  <c r="S187" i="7"/>
  <c r="R188" i="7"/>
  <c r="S188" i="7"/>
  <c r="R189" i="7"/>
  <c r="S189" i="7"/>
  <c r="R190" i="7"/>
  <c r="S190" i="7"/>
  <c r="R191" i="7"/>
  <c r="S191" i="7"/>
  <c r="R192" i="7"/>
  <c r="S192" i="7"/>
  <c r="R193" i="7"/>
  <c r="S193" i="7"/>
  <c r="R194" i="7"/>
  <c r="S194" i="7"/>
  <c r="R195" i="7"/>
  <c r="S195" i="7"/>
  <c r="R196" i="7"/>
  <c r="S196" i="7"/>
  <c r="R197" i="7"/>
  <c r="S197" i="7"/>
  <c r="R198" i="7"/>
  <c r="S198" i="7"/>
  <c r="R199" i="7"/>
  <c r="S199" i="7"/>
  <c r="R200" i="7"/>
  <c r="S200" i="7"/>
  <c r="R201" i="7"/>
  <c r="S201" i="7"/>
  <c r="R202" i="7"/>
  <c r="S202" i="7"/>
  <c r="R203" i="7"/>
  <c r="S203" i="7"/>
  <c r="R204" i="7"/>
  <c r="S204" i="7"/>
  <c r="R205" i="7"/>
  <c r="S205" i="7"/>
  <c r="R206" i="7"/>
  <c r="S206" i="7"/>
  <c r="R207" i="7"/>
  <c r="S207" i="7"/>
  <c r="R208" i="7"/>
  <c r="S208" i="7"/>
  <c r="R209" i="7"/>
  <c r="S209" i="7"/>
  <c r="R210" i="7"/>
  <c r="S210" i="7"/>
  <c r="R211" i="7"/>
  <c r="S211" i="7"/>
  <c r="R212" i="7"/>
  <c r="S212" i="7"/>
  <c r="R213" i="7"/>
  <c r="S213" i="7"/>
  <c r="R214" i="7"/>
  <c r="S214" i="7"/>
  <c r="R215" i="7"/>
  <c r="S215" i="7"/>
  <c r="R216" i="7"/>
  <c r="S216" i="7"/>
  <c r="R217" i="7"/>
  <c r="S217" i="7"/>
  <c r="R218" i="7"/>
  <c r="S218" i="7"/>
  <c r="R219" i="7"/>
  <c r="S219" i="7"/>
  <c r="R220" i="7"/>
  <c r="S220" i="7"/>
  <c r="R221" i="7"/>
  <c r="S221" i="7"/>
  <c r="R222" i="7"/>
  <c r="S222" i="7"/>
  <c r="R223" i="7"/>
  <c r="S223" i="7"/>
  <c r="R224" i="7"/>
  <c r="S224" i="7"/>
  <c r="R225" i="7"/>
  <c r="S225" i="7"/>
  <c r="R226" i="7"/>
  <c r="S226" i="7"/>
  <c r="R227" i="7"/>
  <c r="S227" i="7"/>
  <c r="R228" i="7"/>
  <c r="S228" i="7"/>
  <c r="R229" i="7"/>
  <c r="S229" i="7"/>
  <c r="R230" i="7"/>
  <c r="S230" i="7"/>
  <c r="R231" i="7"/>
  <c r="S231" i="7"/>
  <c r="R232" i="7"/>
  <c r="S232" i="7"/>
  <c r="R233" i="7"/>
  <c r="S233" i="7"/>
  <c r="R234" i="7"/>
  <c r="S234" i="7"/>
  <c r="R235" i="7"/>
  <c r="S235" i="7"/>
  <c r="R236" i="7"/>
  <c r="S236" i="7"/>
  <c r="R237" i="7"/>
  <c r="S237" i="7"/>
  <c r="R238" i="7"/>
  <c r="S238" i="7"/>
  <c r="R239" i="7"/>
  <c r="S239" i="7"/>
  <c r="R240" i="7"/>
  <c r="S240" i="7"/>
  <c r="R241" i="7"/>
  <c r="S241" i="7"/>
  <c r="R242" i="7"/>
  <c r="S242" i="7"/>
  <c r="R243" i="7"/>
  <c r="S243" i="7"/>
  <c r="R244" i="7"/>
  <c r="S244" i="7"/>
  <c r="R245" i="7"/>
  <c r="S245" i="7"/>
  <c r="R246" i="7"/>
  <c r="S246" i="7"/>
  <c r="R247" i="7"/>
  <c r="S247" i="7"/>
  <c r="R248" i="7"/>
  <c r="S248" i="7"/>
  <c r="R249" i="7"/>
  <c r="S249" i="7"/>
  <c r="R250" i="7"/>
  <c r="S250" i="7"/>
  <c r="R251" i="7"/>
  <c r="S251" i="7"/>
  <c r="R252" i="7"/>
  <c r="S252" i="7"/>
  <c r="R253" i="7"/>
  <c r="S253" i="7"/>
  <c r="R254" i="7"/>
  <c r="S254" i="7"/>
  <c r="R255" i="7"/>
  <c r="S255" i="7"/>
  <c r="R256" i="7"/>
  <c r="S256" i="7"/>
  <c r="R257" i="7"/>
  <c r="S257" i="7"/>
  <c r="R258" i="7"/>
  <c r="S258" i="7"/>
  <c r="R259" i="7"/>
  <c r="S259" i="7"/>
  <c r="R260" i="7"/>
  <c r="S260" i="7"/>
  <c r="R261" i="7"/>
  <c r="S261" i="7"/>
  <c r="R262" i="7"/>
  <c r="S262" i="7"/>
  <c r="R263" i="7"/>
  <c r="S263" i="7"/>
  <c r="R264" i="7"/>
  <c r="S264" i="7"/>
  <c r="R265" i="7"/>
  <c r="S265" i="7"/>
  <c r="R266" i="7"/>
  <c r="S266" i="7"/>
  <c r="R267" i="7"/>
  <c r="S267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I257" i="7"/>
  <c r="J257" i="7"/>
  <c r="I258" i="7"/>
  <c r="J258" i="7"/>
  <c r="I259" i="7"/>
  <c r="J259" i="7"/>
  <c r="I260" i="7"/>
  <c r="J260" i="7"/>
  <c r="I261" i="7"/>
  <c r="J261" i="7"/>
  <c r="I262" i="7"/>
  <c r="J262" i="7"/>
  <c r="I263" i="7"/>
  <c r="J263" i="7"/>
  <c r="I264" i="7"/>
  <c r="J264" i="7"/>
  <c r="I265" i="7"/>
  <c r="J265" i="7"/>
  <c r="I266" i="7"/>
  <c r="J266" i="7"/>
  <c r="I267" i="7"/>
  <c r="J267" i="7"/>
  <c r="J10" i="7"/>
  <c r="J9" i="7"/>
  <c r="W9" i="7" s="1"/>
  <c r="I10" i="7"/>
  <c r="I9" i="7"/>
  <c r="S9" i="7"/>
  <c r="R9" i="7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28" i="1"/>
  <c r="L105" i="1"/>
  <c r="M105" i="1" s="1"/>
  <c r="L102" i="1"/>
  <c r="M102" i="1" s="1"/>
  <c r="L103" i="1"/>
  <c r="M103" i="1" s="1"/>
  <c r="L101" i="1"/>
  <c r="M101" i="1" s="1"/>
  <c r="L99" i="1"/>
  <c r="M99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1" i="1"/>
  <c r="M91" i="1" s="1"/>
  <c r="L29" i="1"/>
  <c r="M29" i="1" s="1"/>
  <c r="L30" i="1"/>
  <c r="M30" i="1" s="1"/>
  <c r="L28" i="1"/>
  <c r="M28" i="1" s="1"/>
  <c r="L24" i="1"/>
  <c r="M24" i="1" s="1"/>
  <c r="L20" i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83" i="1"/>
  <c r="M83" i="1" s="1"/>
  <c r="L81" i="1"/>
  <c r="M81" i="1" s="1"/>
  <c r="L80" i="1"/>
  <c r="M80" i="1" s="1"/>
  <c r="L79" i="1"/>
  <c r="M79" i="1" s="1"/>
  <c r="L78" i="1"/>
  <c r="M78" i="1" s="1"/>
  <c r="L76" i="1"/>
  <c r="M76" i="1" s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54" i="1"/>
  <c r="M54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46" i="1"/>
  <c r="M46" i="1" s="1"/>
  <c r="L42" i="1"/>
  <c r="M42" i="1" s="1"/>
  <c r="L43" i="1"/>
  <c r="M43" i="1" s="1"/>
  <c r="L44" i="1"/>
  <c r="M44" i="1" s="1"/>
  <c r="L41" i="1"/>
  <c r="M41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L39" i="1"/>
  <c r="M39" i="1" s="1"/>
  <c r="L32" i="1"/>
  <c r="M32" i="1" s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9" i="1"/>
  <c r="V9" i="7" l="1"/>
  <c r="M20" i="1"/>
  <c r="M38" i="1"/>
</calcChain>
</file>

<file path=xl/sharedStrings.xml><?xml version="1.0" encoding="utf-8"?>
<sst xmlns="http://schemas.openxmlformats.org/spreadsheetml/2006/main" count="2462" uniqueCount="1002">
  <si>
    <t>{</t>
  </si>
  <si>
    <t xml:space="preserve">      returnperiod    : zcy_det_returnperiod;</t>
  </si>
  <si>
    <t xml:space="preserve">      locationgstin   : zcy_det_locationgstin;</t>
  </si>
  <si>
    <t xml:space="preserve">      documentnumber  : zcy_det_documentnumber;</t>
  </si>
  <si>
    <t xml:space="preserve">      documentdate    : bldat;</t>
  </si>
  <si>
    <t xml:space="preserve">      financialyear   : zcy_det_financialyear;</t>
  </si>
  <si>
    <t>}</t>
  </si>
  <si>
    <t>@AbapCatalog.enhancement.category : #EXTENSIBLE_ANY</t>
  </si>
  <si>
    <t xml:space="preserve">  split_rev_by            : zcy_det_split_rev_user;</t>
  </si>
  <si>
    <t xml:space="preserve">  jv_posted_on            : zcy_det_jv_date;</t>
  </si>
  <si>
    <t xml:space="preserve">  jv_posted_at            : zcy_det_jv_time;</t>
  </si>
  <si>
    <t xml:space="preserve">  jv_posted_by            : zcy_det_jv_user;</t>
  </si>
  <si>
    <t xml:space="preserve">  jv_comment              : zcy_det_jv_comment;</t>
  </si>
  <si>
    <t xml:space="preserve">  documenttype            : zcy_det_documenttype;</t>
  </si>
  <si>
    <t xml:space="preserve">  remark                  : zcyg_remarks;</t>
  </si>
  <si>
    <r>
      <t xml:space="preserve">@EndUserText.label : </t>
    </r>
    <r>
      <rPr>
        <sz val="10"/>
        <color rgb="FF0A3069"/>
        <rFont val="Consolas"/>
        <family val="3"/>
      </rPr>
      <t>'GSTR2A Payment Block Data.'</t>
    </r>
  </si>
  <si>
    <t>@AbapCatalog.tableCategory       : #TRANSPARENT</t>
  </si>
  <si>
    <t>@AbapCatalog.deliveryClass       : #A</t>
  </si>
  <si>
    <t>@AbapCatalog.dataMaintenance     : #RESTRICTED</t>
  </si>
  <si>
    <r>
      <t>define table</t>
    </r>
    <r>
      <rPr>
        <sz val="10"/>
        <color rgb="FF1F2328"/>
        <rFont val="Consolas"/>
        <family val="3"/>
      </rPr>
      <t xml:space="preserve"> z2a_t_pay_block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</si>
  <si>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mandt          : mandt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</si>
  <si>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custom1        : zcy_det_custom1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</si>
  <si>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custom4        : zcy_det_custom4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</si>
  <si>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custom9        : zcy_det_custom9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</si>
  <si>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     </t>
    </r>
    <r>
      <rPr>
        <sz val="10"/>
        <color rgb="FFCF222E"/>
        <rFont val="Consolas"/>
        <family val="3"/>
      </rPr>
      <t>currency</t>
    </r>
    <r>
      <rPr>
        <sz val="10"/>
        <color rgb="FF1F2328"/>
        <rFont val="Consolas"/>
        <family val="3"/>
      </rPr>
      <t xml:space="preserve">        : abap.cuky;</t>
    </r>
  </si>
  <si>
    <r>
      <t xml:space="preserve">      </t>
    </r>
    <r>
      <rPr>
        <sz val="10"/>
        <color rgb="FFCF222E"/>
        <rFont val="Consolas"/>
        <family val="3"/>
      </rPr>
      <t>include</t>
    </r>
    <r>
      <rPr>
        <sz val="10"/>
        <color rgb="FF1F2328"/>
        <rFont val="Consolas"/>
        <family val="3"/>
      </rPr>
      <t xml:space="preserve"> zcy_str_2a_pay_block_status;</t>
    </r>
  </si>
  <si>
    <t xml:space="preserve">  procstat               : icon_d;</t>
  </si>
  <si>
    <t xml:space="preserve">  cbox                   : checkbox;</t>
  </si>
  <si>
    <t xml:space="preserve">  reco_stat              : icon_d;</t>
  </si>
  <si>
    <t xml:space="preserve">  financialyear          : zcy_det_financialyear;</t>
  </si>
  <si>
    <t xml:space="preserve">  returnperiod           : zcy_det_returnperiod;</t>
  </si>
  <si>
    <t xml:space="preserve">  locationgstin          : zcy_det_locationgstin;</t>
  </si>
  <si>
    <t xml:space="preserve">  documentnumber         : zcy_det_documentnumber;</t>
  </si>
  <si>
    <t xml:space="preserve">  documentdate           : bldat;</t>
  </si>
  <si>
    <t xml:space="preserve">  custom1                : zcy_det_custom1;</t>
  </si>
  <si>
    <t xml:space="preserve">  custom4                : zcy_det_custom4;</t>
  </si>
  <si>
    <t xml:space="preserve">  custom9                : zcy_det_custom9;</t>
  </si>
  <si>
    <t xml:space="preserve">  documentvalue          : zcy_det_documentvalue;</t>
  </si>
  <si>
    <t xml:space="preserve">  pushstatus             : zcy_det_pushstatus;</t>
  </si>
  <si>
    <t xml:space="preserve">  pushdate               : zcy_det_pushdate;</t>
  </si>
  <si>
    <t xml:space="preserve">  reconciliationsection  : zcy_det_reconciliationsection;</t>
  </si>
  <si>
    <t xml:space="preserve">  reason                 : zcy_det_reason;</t>
  </si>
  <si>
    <t xml:space="preserve">  filingdate             : zcy_det_filingdate;</t>
  </si>
  <si>
    <t xml:space="preserve">  filingreturnperiod     : zcy_det_filingreturnperiod;</t>
  </si>
  <si>
    <t xml:space="preserve">  filingstatus           : zcy_det_filingstatus;</t>
  </si>
  <si>
    <t xml:space="preserve">  rate                   : zcy_det_rate;</t>
  </si>
  <si>
    <t xml:space="preserve">  taxablevalue           : zcy_det_taxablevalue;</t>
  </si>
  <si>
    <t xml:space="preserve">  igstamount             : zcy_det_igstamount;</t>
  </si>
  <si>
    <t xml:space="preserve">  cgstamount             : zcy_det_cgstamount;</t>
  </si>
  <si>
    <t xml:space="preserve">  sgstamount             : zcy_det_sgstamount;</t>
  </si>
  <si>
    <t xml:space="preserve">  totaltax               : hwste;</t>
  </si>
  <si>
    <t xml:space="preserve">  rec_date               : datum;</t>
  </si>
  <si>
    <t xml:space="preserve">  rec_time               : uzeit;</t>
  </si>
  <si>
    <t xml:space="preserve">  vendor_name            : name1_gp;</t>
  </si>
  <si>
    <t xml:space="preserve">  blart                  : blart;</t>
  </si>
  <si>
    <t xml:space="preserve">  qblock                  : char1;</t>
  </si>
  <si>
    <t xml:space="preserve">  preconciliationsection : char40;</t>
  </si>
  <si>
    <t xml:space="preserve">  cpgstin                : zcy_det_cpgstin;</t>
  </si>
  <si>
    <t xml:space="preserve">  cptradename            : zcy_det_cptradename;</t>
  </si>
  <si>
    <t xml:space="preserve">  cplegalname            : zcy_det_cplegalname;</t>
  </si>
  <si>
    <t xml:space="preserve">  cpdocumentnumber       : zcy_det_cpdocumentnumber;</t>
  </si>
  <si>
    <t xml:space="preserve">  cpdocumentdate         : zcy_det_cpdocumentdate;</t>
  </si>
  <si>
    <t xml:space="preserve">  cpvalue                : zcy_det_cpvalue;</t>
  </si>
  <si>
    <t xml:space="preserve">  cppos                  : zcy_det_cppos;</t>
  </si>
  <si>
    <t xml:space="preserve">  cpreversecharge        : zcy_det_cpreversecharge;</t>
  </si>
  <si>
    <t xml:space="preserve">  cptransactiontype      : zcy_det_cptransactiontype;</t>
  </si>
  <si>
    <t xml:space="preserve">  cptaxpayertype         : zcy_det_cptaxpayertype;</t>
  </si>
  <si>
    <t xml:space="preserve">  cptaxablevalue         : zcy_det_cptaxablevalue;</t>
  </si>
  <si>
    <t xml:space="preserve">  cprate                  : zcy_det_cprate;</t>
  </si>
  <si>
    <t xml:space="preserve">  cpigstamount           : zcy_det_cpigstamount;</t>
  </si>
  <si>
    <t xml:space="preserve">  cpcgstamount           : zcy_det_cpcgstamount;</t>
  </si>
  <si>
    <t xml:space="preserve">  cpsgstamount           : zcy_det_cpsgstamount;</t>
  </si>
  <si>
    <t xml:space="preserve">  cpcessamount           : zcy_det_cpcessamount;</t>
  </si>
  <si>
    <t xml:space="preserve">  cpfilingstatus         : zcy_det_cpfilingstatus;</t>
  </si>
  <si>
    <t xml:space="preserve">  cpfilingdate           : zcy_det_cpfilingdate;</t>
  </si>
  <si>
    <t xml:space="preserve">  cpfilingreturnperiod   : zcy_det_cpfilingreturnperiod;</t>
  </si>
  <si>
    <t xml:space="preserve">  isgstr3bfiled          : zcy_det_isgstr3bfiled;</t>
  </si>
  <si>
    <t xml:space="preserve">  isgstr3bfildate        : zcy_det_is3bfilingdate;</t>
  </si>
  <si>
    <t xml:space="preserve">  cpitcavailability      : zcy_det_cpitcavailability;</t>
  </si>
  <si>
    <t xml:space="preserve">  cpreturnperiod         : zcy_det_cpreturnperiod;</t>
  </si>
  <si>
    <t xml:space="preserve">  cpisamendment          : zcy_det_cpisamendment;</t>
  </si>
  <si>
    <t xml:space="preserve">  cpavailableingstr2b    : zcy_det_cpavailableingstr2b;</t>
  </si>
  <si>
    <t xml:space="preserve">  cpgstr2breturnperiod   : zcy_det_cpgstr2breturnperiod;</t>
  </si>
  <si>
    <t xml:space="preserve">  cpavailableingstr98a   : zcy_det_cpavailableingstr98a;</t>
  </si>
  <si>
    <t xml:space="preserve">  cpitcclaimmonth        : zcy_det_cpitcclaimmonth;</t>
  </si>
  <si>
    <t xml:space="preserve">  billfromlegalname      : zcy_det_billfromlegalname;</t>
  </si>
  <si>
    <t xml:space="preserve">  billfromtradename      : zcy_det_billfromtradename;</t>
  </si>
  <si>
    <t xml:space="preserve">  pos                    : zcy_det_pos;</t>
  </si>
  <si>
    <t xml:space="preserve">  reversecharge          : zcy_det_reversecharge;</t>
  </si>
  <si>
    <t xml:space="preserve">  transactiontype        : zcy_det_transactiontype;</t>
  </si>
  <si>
    <t xml:space="preserve">  taxpayertype           : zcy_det_taxpayertype;</t>
  </si>
  <si>
    <t xml:space="preserve">  cessamount             : zcy_det_cessamount;</t>
  </si>
  <si>
    <t xml:space="preserve">  isamendment            : zcy_det_isamendment;</t>
  </si>
  <si>
    <t xml:space="preserve">  custom2                : zcy_det_custom2;</t>
  </si>
  <si>
    <t xml:space="preserve">  custom3                : zcy_det_custom3;</t>
  </si>
  <si>
    <t xml:space="preserve">  custom5                : zcy_det_custom5;</t>
  </si>
  <si>
    <t xml:space="preserve">  custom6                : zcy_det_custom6;</t>
  </si>
  <si>
    <t xml:space="preserve">  custom7                : zcy_det_custom7;</t>
  </si>
  <si>
    <t xml:space="preserve">  custom8                : zcy_det_custom8;</t>
  </si>
  <si>
    <t xml:space="preserve">  custom10               : zcy_det_custom10;</t>
  </si>
  <si>
    <t xml:space="preserve">  hsn                    : zcy_det_hsn;</t>
  </si>
  <si>
    <t xml:space="preserve">  itceligibility         : zcy_det_itceligibility;</t>
  </si>
  <si>
    <t xml:space="preserve">  itcigstamount          : zcy_det_itcigstamount;</t>
  </si>
  <si>
    <t xml:space="preserve">  itccgstamount          : zcy_det_itccgstamount;</t>
  </si>
  <si>
    <t xml:space="preserve">  itcsgstamount          : zcy_det_itcsgstamount;</t>
  </si>
  <si>
    <t xml:space="preserve">  itccessamount          : zcy_det_itccessamount;</t>
  </si>
  <si>
    <t xml:space="preserve">  customitem3            : zcy_det_customitem3;</t>
  </si>
  <si>
    <t xml:space="preserve">  valuediff              : zcy_det_valuediff;</t>
  </si>
  <si>
    <t xml:space="preserve">  taxablediff            : zcy_det_taxablediff;</t>
  </si>
  <si>
    <t xml:space="preserve">  taxdiff                : zcy_det_taxdiff;</t>
  </si>
  <si>
    <t xml:space="preserve">  msme                   : zcy_msme;</t>
  </si>
  <si>
    <r>
      <t xml:space="preserve">@EndUserText.label : </t>
    </r>
    <r>
      <rPr>
        <sz val="10"/>
        <color rgb="FF0A3069"/>
        <rFont val="Consolas"/>
        <family val="3"/>
      </rPr>
      <t>'GSTR2A Payment Block Program - ALV Structure.'</t>
    </r>
  </si>
  <si>
    <r>
      <t>define structure</t>
    </r>
    <r>
      <rPr>
        <sz val="10"/>
        <color rgb="FF1F2328"/>
        <rFont val="Consolas"/>
        <family val="3"/>
      </rPr>
      <t xml:space="preserve"> zcy_str_2a_pay_block</t>
    </r>
  </si>
  <si>
    <r>
      <t xml:space="preserve">  @Semantics.amount.currencyCode : </t>
    </r>
    <r>
      <rPr>
        <sz val="10"/>
        <color rgb="FF0A3069"/>
        <rFont val="Consolas"/>
        <family val="3"/>
      </rPr>
      <t>'vbak.waerk'</t>
    </r>
  </si>
  <si>
    <r>
      <t xml:space="preserve">  </t>
    </r>
    <r>
      <rPr>
        <sz val="10"/>
        <color rgb="FFCF222E"/>
        <rFont val="Consolas"/>
        <family val="3"/>
      </rPr>
      <t>include</t>
    </r>
    <r>
      <rPr>
        <sz val="10"/>
        <color rgb="FF1F2328"/>
        <rFont val="Consolas"/>
        <family val="3"/>
      </rPr>
      <t xml:space="preserve"> zcy_str_2a_pay_block_status;</t>
    </r>
  </si>
  <si>
    <r>
      <t xml:space="preserve">  @EndUserText.label : </t>
    </r>
    <r>
      <rPr>
        <sz val="10"/>
        <color rgb="FF0A3069"/>
        <rFont val="Consolas"/>
        <family val="3"/>
      </rPr>
      <t>'Docuemnt Processing Status Description'</t>
    </r>
  </si>
  <si>
    <r>
      <t xml:space="preserve">  status_desc            : abap.char(</t>
    </r>
    <r>
      <rPr>
        <sz val="10"/>
        <color rgb="FF0550AE"/>
        <rFont val="Consolas"/>
        <family val="3"/>
      </rPr>
      <t>50</t>
    </r>
    <r>
      <rPr>
        <sz val="10"/>
        <color rgb="FF1F2328"/>
        <rFont val="Consolas"/>
        <family val="3"/>
      </rPr>
      <t>);</t>
    </r>
  </si>
  <si>
    <r>
      <t xml:space="preserve">  @EndUserText.label : </t>
    </r>
    <r>
      <rPr>
        <sz val="10"/>
        <color rgb="FF0A3069"/>
        <rFont val="Consolas"/>
        <family val="3"/>
      </rPr>
      <t>'Vendor Block Type Description'</t>
    </r>
  </si>
  <si>
    <r>
      <t xml:space="preserve">  block_type_desc        : abap.char(</t>
    </r>
    <r>
      <rPr>
        <sz val="10"/>
        <color rgb="FF0550AE"/>
        <rFont val="Consolas"/>
        <family val="3"/>
      </rPr>
      <t>50</t>
    </r>
    <r>
      <rPr>
        <sz val="10"/>
        <color rgb="FF1F2328"/>
        <rFont val="Consolas"/>
        <family val="3"/>
      </rPr>
      <t>);</t>
    </r>
  </si>
  <si>
    <r>
      <t xml:space="preserve">  @Semantics.amount.currencyCode : </t>
    </r>
    <r>
      <rPr>
        <sz val="10"/>
        <color rgb="FF0A3069"/>
        <rFont val="Consolas"/>
        <family val="3"/>
      </rPr>
      <t>'komk.waerk'</t>
    </r>
  </si>
  <si>
    <r>
      <t xml:space="preserve">@EndUserText.label : </t>
    </r>
    <r>
      <rPr>
        <sz val="10"/>
        <color rgb="FF0A3069"/>
        <rFont val="Consolas"/>
        <family val="3"/>
      </rPr>
      <t>'Status fields for GSTR2A based payment block program'</t>
    </r>
  </si>
  <si>
    <r>
      <t>define structure</t>
    </r>
    <r>
      <rPr>
        <sz val="10"/>
        <color rgb="FF1F2328"/>
        <rFont val="Consolas"/>
        <family val="3"/>
      </rPr>
      <t xml:space="preserve"> zcy_str_2a_pay_block_status {</t>
    </r>
  </si>
  <si>
    <t xml:space="preserve">  fi_doc_value           : dmbtr;</t>
  </si>
  <si>
    <t xml:space="preserve">  fi_tax_value           : hwste;</t>
  </si>
  <si>
    <t xml:space="preserve">  fi_tax_code             : mwskz;</t>
  </si>
  <si>
    <t xml:space="preserve">  fi_tax_rate             : kbetr;</t>
  </si>
  <si>
    <t xml:space="preserve">  status                  : zcy_det_2a_pay_block_status;</t>
  </si>
  <si>
    <t xml:space="preserve">  gst_part                : j_1ig_partner;</t>
  </si>
  <si>
    <t xml:space="preserve">  vendor                  : lifnr;</t>
  </si>
  <si>
    <t xml:space="preserve">  mindk                   : mindk;</t>
  </si>
  <si>
    <t xml:space="preserve">  vendor_block_type       : zcy_det_block_type;</t>
  </si>
  <si>
    <t xml:space="preserve">  payment_due_date        : faedt_fpos;</t>
  </si>
  <si>
    <t xml:space="preserve">  clearing_no             : augbl;</t>
  </si>
  <si>
    <t xml:space="preserve">  clearing_date           : augdt;</t>
  </si>
  <si>
    <t xml:space="preserve">  expected_filing_date    : zcy_det_exp_fil_date;</t>
  </si>
  <si>
    <t xml:space="preserve">  due_date_before_filing  : zcy_det_due_b4_filing;</t>
  </si>
  <si>
    <t xml:space="preserve">  cleared_before_filing   : zcy_det_clr_b4_fil;</t>
  </si>
  <si>
    <t xml:space="preserve">  grc_check_applicable    : zcy_det_grc_appl;</t>
  </si>
  <si>
    <t xml:space="preserve">  grc_checked_on          : zcy_det_grc_date;</t>
  </si>
  <si>
    <t xml:space="preserve">  grc_checked_at          : zcy_det_grc_time;</t>
  </si>
  <si>
    <t xml:space="preserve">  grc_checked_by          : zcy_det_grc_user;</t>
  </si>
  <si>
    <t xml:space="preserve">  grc_score               : zcy_det_grc_score;</t>
  </si>
  <si>
    <t xml:space="preserve">  gstr3b_score             : zcy_det_grc3_score;</t>
  </si>
  <si>
    <t xml:space="preserve">  grc_check_result        : zcy_det_grc_result;</t>
  </si>
  <si>
    <t xml:space="preserve">  grc_check_comment       : zcy_det_grc_comment;</t>
  </si>
  <si>
    <t xml:space="preserve">  blocked_on              : zcy_det_block_date;</t>
  </si>
  <si>
    <t xml:space="preserve">  blocked_at              : zcy_det_block_time;</t>
  </si>
  <si>
    <t xml:space="preserve">  blocked_by              : zcy_det_block_user;</t>
  </si>
  <si>
    <t xml:space="preserve">  block_comment           : zcy_det_block_comment;</t>
  </si>
  <si>
    <t xml:space="preserve">  split_comp_code         : zcy_det_split_comp;</t>
  </si>
  <si>
    <t xml:space="preserve">  split_gst_doc_num       : zcy_det_split_gst_doc;</t>
  </si>
  <si>
    <t xml:space="preserve">  split_year              : zcy_det_split_year;</t>
  </si>
  <si>
    <t xml:space="preserve">  split_on                : zcy_det_split_date;</t>
  </si>
  <si>
    <t xml:space="preserve">  split_at                : zcy_det_split_time;</t>
  </si>
  <si>
    <t xml:space="preserve">  split_by                : zcy_det_split_user;</t>
  </si>
  <si>
    <t xml:space="preserve">  split_comment           : zcy_det_split_comment;</t>
  </si>
  <si>
    <t xml:space="preserve">  split_rev_comp_code     : zcy_det_split_rev_comp;</t>
  </si>
  <si>
    <t xml:space="preserve">  split_rev_doc_num       : zcy_det_split_rev_doc;</t>
  </si>
  <si>
    <t xml:space="preserve">  split_rev_year          : zcy_det_split_rev_year;</t>
  </si>
  <si>
    <t xml:space="preserve">  split_rev_on            : zcy_det_split_rev_date;</t>
  </si>
  <si>
    <t xml:space="preserve">  split_rev_at            : zcy_det_split_rev_time;</t>
  </si>
  <si>
    <t xml:space="preserve">  split_rev_comment       : zcy_det_split_rev_comment;</t>
  </si>
  <si>
    <t xml:space="preserve">  jv_comp_code            : zcy_det_jv_comp;</t>
  </si>
  <si>
    <t xml:space="preserve">  jv_doc_num              : zcy_det_jv_doc;</t>
  </si>
  <si>
    <t xml:space="preserve">  jv_year                 : zcy_det_jv_year;</t>
  </si>
  <si>
    <t xml:space="preserve">  jv_rev_comp_code        : zcy_det_jv_rev_comp;</t>
  </si>
  <si>
    <t xml:space="preserve">  jv_rev_doc_num          : zcy_det_jv_rev_doc;</t>
  </si>
  <si>
    <t xml:space="preserve">  jv_rev_year             : zcy_det_jv_rev_year;</t>
  </si>
  <si>
    <t xml:space="preserve">  jv_reversed_on          : zcy_det_jv_rev_date;</t>
  </si>
  <si>
    <t xml:space="preserve">  jv_reversed_at          : zcy_det_jv_rev_time;</t>
  </si>
  <si>
    <t xml:space="preserve">  jv_reversed_by          : zcy_det_jv_rev_user;</t>
  </si>
  <si>
    <t xml:space="preserve">  jv_rev_comment          : zcy_det_jv_rev_comment;</t>
  </si>
  <si>
    <t xml:space="preserve">  released_on             : zcy_det_release_date;</t>
  </si>
  <si>
    <t xml:space="preserve">  released_at             : zcy_det_release_time;</t>
  </si>
  <si>
    <t xml:space="preserve">  released_by             : zcy_det_release_user;</t>
  </si>
  <si>
    <t xml:space="preserve">  release_comment         : zcy_det_release_comment;</t>
  </si>
  <si>
    <t xml:space="preserve">  debit_note_comp         : zcy_det_dn_comp;</t>
  </si>
  <si>
    <t xml:space="preserve">  debit_note_num          : zcy_det_dn_num;</t>
  </si>
  <si>
    <t xml:space="preserve">  debit_note_year         : zcy_det_dn_year;</t>
  </si>
  <si>
    <t xml:space="preserve">  debit_note_posted_on    : zcy_det_dn_date;</t>
  </si>
  <si>
    <t xml:space="preserve">  debit_note_posted_at    : zcy_det_dn_time;</t>
  </si>
  <si>
    <t xml:space="preserve">  debit_note_posted_by    : zcy_det_dn_user;</t>
  </si>
  <si>
    <t xml:space="preserve">  debit_note_comment      : zcy_det_dn_comment;</t>
  </si>
  <si>
    <t xml:space="preserve">  debit_note_rev_comp     : zcy_det_dn_rev_comp;</t>
  </si>
  <si>
    <t xml:space="preserve">  debit_note_rev_num      : zcy_det_dn_rev_num;</t>
  </si>
  <si>
    <t xml:space="preserve">  debit_note_rev_year     : zcy_det_dn_rev_year;</t>
  </si>
  <si>
    <t xml:space="preserve">  debit_note_reversed_on  : zcy_det_dn_rev_date;</t>
  </si>
  <si>
    <t xml:space="preserve">  debit_note_reversed_at  : zcy_det_dn_rev_time;</t>
  </si>
  <si>
    <t xml:space="preserve">  debit_note_reversed_by  : zcy_det_dn_rev_user;</t>
  </si>
  <si>
    <t xml:space="preserve">  debit_note_rev_comment  : zcy_det_dn_rev_comment;</t>
  </si>
  <si>
    <r>
      <t xml:space="preserve">  </t>
    </r>
    <r>
      <rPr>
        <sz val="10"/>
        <color rgb="FFCF222E"/>
        <rFont val="Consolas"/>
        <family val="3"/>
      </rPr>
      <t>message</t>
    </r>
    <r>
      <rPr>
        <sz val="10"/>
        <color rgb="FF1F2328"/>
        <rFont val="Consolas"/>
        <family val="3"/>
      </rPr>
      <t xml:space="preserve">                 : zcy_det_message;</t>
    </r>
  </si>
  <si>
    <t xml:space="preserve">  last_checked_on         : zcy_det_lc_date;</t>
  </si>
  <si>
    <t xml:space="preserve">  last_checked_at         : zcy_det_lc_time;</t>
  </si>
  <si>
    <t xml:space="preserve">  last_checked_by         : zcy_det_lc_user;</t>
  </si>
  <si>
    <t xml:space="preserve">  processing_options      : zcy_det_proc_opt;</t>
  </si>
  <si>
    <t xml:space="preserve">  wronggst                : char15;</t>
  </si>
  <si>
    <t xml:space="preserve">  gstin                   : zcy_det_billfromgstin;</t>
  </si>
  <si>
    <t xml:space="preserve">  gstin_part              : char20;</t>
  </si>
  <si>
    <t> </t>
  </si>
  <si>
    <r>
      <t>define table</t>
    </r>
    <r>
      <rPr>
        <sz val="10"/>
        <color rgb="FF1F2328"/>
        <rFont val="Consolas"/>
        <family val="3"/>
      </rPr>
      <t xml:space="preserve"> zcy_tab_rrp_e {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</si>
  <si>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mandt                      : mandt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</si>
  <si>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custom1                    : zcy_det_custom1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</si>
  <si>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custom4                    : zcy_det_custom4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</si>
  <si>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</t>
    </r>
    <r>
      <rPr>
        <sz val="10"/>
        <color rgb="FFCF222E"/>
        <rFont val="Consolas"/>
        <family val="3"/>
      </rPr>
      <t xml:space="preserve"> key</t>
    </r>
    <r>
      <rPr>
        <sz val="10"/>
        <color rgb="FF1F2328"/>
        <rFont val="Consolas"/>
        <family val="3"/>
      </rPr>
      <t xml:space="preserve"> custom9                    : zcy_det_custom9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null;</t>
    </r>
  </si>
  <si>
    <r>
      <t xml:space="preserve">  @Semantics.quantity.unitOfMeasure : </t>
    </r>
    <r>
      <rPr>
        <sz val="10"/>
        <color rgb="FF0A3069"/>
        <rFont val="Consolas"/>
        <family val="3"/>
      </rPr>
      <t>'vbap.zieme'</t>
    </r>
  </si>
  <si>
    <r>
      <t xml:space="preserve">  @Semantics.amount.currencyCode : </t>
    </r>
    <r>
      <rPr>
        <sz val="10"/>
        <color rgb="FF0A3069"/>
        <rFont val="Consolas"/>
        <family val="3"/>
      </rPr>
      <t>'rv61a.koei1'</t>
    </r>
  </si>
  <si>
    <t>CHAR40</t>
  </si>
  <si>
    <t>CHAR 6</t>
  </si>
  <si>
    <t>CHAR 15</t>
  </si>
  <si>
    <t>CHAR 16</t>
  </si>
  <si>
    <t>DATS 8</t>
  </si>
  <si>
    <t>CHAR 1</t>
  </si>
  <si>
    <t>DATS8</t>
  </si>
  <si>
    <t>TIMS 8</t>
  </si>
  <si>
    <t>CHAR 80</t>
  </si>
  <si>
    <t>CHAR 5</t>
  </si>
  <si>
    <t>CHAR 200</t>
  </si>
  <si>
    <t>TIMS 6</t>
  </si>
  <si>
    <t>CHAR 4</t>
  </si>
  <si>
    <t>CHAR 10</t>
  </si>
  <si>
    <t>NUMC 4</t>
  </si>
  <si>
    <t>CHAR 3</t>
  </si>
  <si>
    <t>CHAR 40</t>
  </si>
  <si>
    <t>MT_DATA</t>
  </si>
  <si>
    <t>returnperiod</t>
  </si>
  <si>
    <t>locationgstin</t>
  </si>
  <si>
    <t>documentnumber</t>
  </si>
  <si>
    <t>documentdate</t>
  </si>
  <si>
    <t>financialyear</t>
  </si>
  <si>
    <t>status</t>
  </si>
  <si>
    <t>message</t>
  </si>
  <si>
    <t>documenttype</t>
  </si>
  <si>
    <t>serialnumber</t>
  </si>
  <si>
    <t>billfromgstin</t>
  </si>
  <si>
    <t>mapperid</t>
  </si>
  <si>
    <t>supplytype</t>
  </si>
  <si>
    <t>purpose</t>
  </si>
  <si>
    <t>locationname</t>
  </si>
  <si>
    <t>irn</t>
  </si>
  <si>
    <t>liabilitydischargereturnperiod</t>
  </si>
  <si>
    <t>itcclaimreturnperiod</t>
  </si>
  <si>
    <t>transactiontype</t>
  </si>
  <si>
    <t>taxpayertype</t>
  </si>
  <si>
    <t>transactionnature</t>
  </si>
  <si>
    <t>documentseriescode</t>
  </si>
  <si>
    <t>billfromlegalname</t>
  </si>
  <si>
    <t>billfromtradename</t>
  </si>
  <si>
    <t>billfromvendorcode</t>
  </si>
  <si>
    <t>billfromaddress1</t>
  </si>
  <si>
    <t>billfromaddress2</t>
  </si>
  <si>
    <t>billfromcity</t>
  </si>
  <si>
    <t>billfromstatecode</t>
  </si>
  <si>
    <t>billfrompincode</t>
  </si>
  <si>
    <t>billfromphone</t>
  </si>
  <si>
    <t>billfromemail</t>
  </si>
  <si>
    <t>dispatchfromgstin</t>
  </si>
  <si>
    <t>dispatchfromtradename</t>
  </si>
  <si>
    <t>dispatchfromvendorcode</t>
  </si>
  <si>
    <t>dispatchfromaddress1</t>
  </si>
  <si>
    <t>dispatchfromaddress2</t>
  </si>
  <si>
    <t>dispatchfromcity</t>
  </si>
  <si>
    <t>dispatchfromstatecode</t>
  </si>
  <si>
    <t>dispatchfrompincode</t>
  </si>
  <si>
    <t>billtogstin</t>
  </si>
  <si>
    <t>billtolegalname</t>
  </si>
  <si>
    <t>billtotradename</t>
  </si>
  <si>
    <t>billtovendorcode</t>
  </si>
  <si>
    <t>billtoaddress1</t>
  </si>
  <si>
    <t>billtoaddress2</t>
  </si>
  <si>
    <t>billtocity</t>
  </si>
  <si>
    <t>billtostatecode</t>
  </si>
  <si>
    <t>billtopincode</t>
  </si>
  <si>
    <t>billtophone</t>
  </si>
  <si>
    <t>billtoemail</t>
  </si>
  <si>
    <t>shiptogstin</t>
  </si>
  <si>
    <t>shiptolegalname</t>
  </si>
  <si>
    <t>shiptotradename</t>
  </si>
  <si>
    <t>shiptovendorcode</t>
  </si>
  <si>
    <t>shiptoaddress1</t>
  </si>
  <si>
    <t>shiptoaddress2</t>
  </si>
  <si>
    <t>shiptocity</t>
  </si>
  <si>
    <t>shiptopincode</t>
  </si>
  <si>
    <t>paymenttype</t>
  </si>
  <si>
    <t>paymentmode</t>
  </si>
  <si>
    <t>paymentamount</t>
  </si>
  <si>
    <t>advancepaidamount</t>
  </si>
  <si>
    <t>paymentdate</t>
  </si>
  <si>
    <t>paymentremarks</t>
  </si>
  <si>
    <t>paymentterms</t>
  </si>
  <si>
    <t>paymentinstruction</t>
  </si>
  <si>
    <t>payeename</t>
  </si>
  <si>
    <t>payeeaccountnumber</t>
  </si>
  <si>
    <t>paymentamountdue</t>
  </si>
  <si>
    <t>ifsc</t>
  </si>
  <si>
    <t>credittransfer</t>
  </si>
  <si>
    <t>directdebit</t>
  </si>
  <si>
    <t>creditdays</t>
  </si>
  <si>
    <t>creditavaileddate</t>
  </si>
  <si>
    <t>creditreversaldate</t>
  </si>
  <si>
    <t>refdocumentremarks</t>
  </si>
  <si>
    <t>refdocumentperiodstartdate</t>
  </si>
  <si>
    <t>refdocumentperiodenddate</t>
  </si>
  <si>
    <t>invno</t>
  </si>
  <si>
    <t>invdt</t>
  </si>
  <si>
    <t>refcontractdetails</t>
  </si>
  <si>
    <t>additionalsupportingdocumentde</t>
  </si>
  <si>
    <t>portcode</t>
  </si>
  <si>
    <t>documentcurrencycode</t>
  </si>
  <si>
    <t>destinationcountry</t>
  </si>
  <si>
    <t>pos</t>
  </si>
  <si>
    <t>documentvalue</t>
  </si>
  <si>
    <t>documentdiscount</t>
  </si>
  <si>
    <t>documentothercharges</t>
  </si>
  <si>
    <t>documentvalueinforeigncurrency</t>
  </si>
  <si>
    <t>roundoffamount</t>
  </si>
  <si>
    <t>differentialpercentage</t>
  </si>
  <si>
    <t>reversecharge</t>
  </si>
  <si>
    <t>claimrefund</t>
  </si>
  <si>
    <t>underigstact</t>
  </si>
  <si>
    <t>refundeligibility</t>
  </si>
  <si>
    <t>pnroruniquenumber</t>
  </si>
  <si>
    <t>availprovisionalitc</t>
  </si>
  <si>
    <t>originalstatecode</t>
  </si>
  <si>
    <t>originaldocumentnumber</t>
  </si>
  <si>
    <t>originaldocumentdate</t>
  </si>
  <si>
    <t>originalreturnperiod</t>
  </si>
  <si>
    <t>originaltaxablevalue</t>
  </si>
  <si>
    <t>toemailaddresses</t>
  </si>
  <si>
    <t>tomobilenumbers</t>
  </si>
  <si>
    <t>jworiginaldocumentnumber</t>
  </si>
  <si>
    <t>jworiginaldocumentdate</t>
  </si>
  <si>
    <t>jwdocumentnumber</t>
  </si>
  <si>
    <t>jwdocumentdate</t>
  </si>
  <si>
    <t>autodraftsource</t>
  </si>
  <si>
    <t>irngenerationdate</t>
  </si>
  <si>
    <t>isamendment</t>
  </si>
  <si>
    <t>isavailableingstr2b</t>
  </si>
  <si>
    <t>itcavailability</t>
  </si>
  <si>
    <t>itcunavailabilityreason</t>
  </si>
  <si>
    <t>custom2</t>
  </si>
  <si>
    <t>custom3</t>
  </si>
  <si>
    <t>custom5</t>
  </si>
  <si>
    <t>custom6</t>
  </si>
  <si>
    <t>custom7</t>
  </si>
  <si>
    <t>custom8</t>
  </si>
  <si>
    <t>custom10</t>
  </si>
  <si>
    <t>custom20</t>
  </si>
  <si>
    <t>natureofjwdone</t>
  </si>
  <si>
    <t>lossunitofmeasure</t>
  </si>
  <si>
    <t>losstotalquantity</t>
  </si>
  <si>
    <t>pusherrors</t>
  </si>
  <si>
    <t>pushstatus</t>
  </si>
  <si>
    <t>gstaction</t>
  </si>
  <si>
    <t>reconciliationsection</t>
  </si>
  <si>
    <t>pushdate</t>
  </si>
  <si>
    <t>cancelleddate</t>
  </si>
  <si>
    <t>ispregstregime</t>
  </si>
  <si>
    <t>amendedtype</t>
  </si>
  <si>
    <t>isgstr3bfiled</t>
  </si>
  <si>
    <t>isgstr3bfildate</t>
  </si>
  <si>
    <t>filingdate</t>
  </si>
  <si>
    <t>filingreturnperiod</t>
  </si>
  <si>
    <t>filingstatus</t>
  </si>
  <si>
    <t>isservice</t>
  </si>
  <si>
    <t>hsn</t>
  </si>
  <si>
    <t>productcode</t>
  </si>
  <si>
    <t>name</t>
  </si>
  <si>
    <t>description</t>
  </si>
  <si>
    <t>barcode</t>
  </si>
  <si>
    <t>uqc</t>
  </si>
  <si>
    <t>quantity</t>
  </si>
  <si>
    <t>freequantity</t>
  </si>
  <si>
    <t>rate</t>
  </si>
  <si>
    <t>cessrate</t>
  </si>
  <si>
    <t>statecessrate</t>
  </si>
  <si>
    <t>cessnonadvaloremrate</t>
  </si>
  <si>
    <t>priceperquantity</t>
  </si>
  <si>
    <t>discountamount</t>
  </si>
  <si>
    <t>grossamount</t>
  </si>
  <si>
    <t>othercharges</t>
  </si>
  <si>
    <t>taxablevalue</t>
  </si>
  <si>
    <t>igstamount</t>
  </si>
  <si>
    <t>cgstamount</t>
  </si>
  <si>
    <t>sgstamount</t>
  </si>
  <si>
    <t>cessamount</t>
  </si>
  <si>
    <t>statecessamount</t>
  </si>
  <si>
    <t>cessnonadvaloremamount</t>
  </si>
  <si>
    <t>statecessnonadvaloremamount</t>
  </si>
  <si>
    <t>taxtype</t>
  </si>
  <si>
    <t>itceligibility</t>
  </si>
  <si>
    <t>itcigstamount</t>
  </si>
  <si>
    <t>itccgstamount</t>
  </si>
  <si>
    <t>itcsgstamount</t>
  </si>
  <si>
    <t>itccessamount</t>
  </si>
  <si>
    <t>customitem1</t>
  </si>
  <si>
    <t>customitem2</t>
  </si>
  <si>
    <t>customitem3</t>
  </si>
  <si>
    <t>customitem4</t>
  </si>
  <si>
    <t>customitem5</t>
  </si>
  <si>
    <t>customitem6</t>
  </si>
  <si>
    <t>customitem7</t>
  </si>
  <si>
    <t>customitem8</t>
  </si>
  <si>
    <t>customitem9</t>
  </si>
  <si>
    <t>customitem10</t>
  </si>
  <si>
    <t>cpgstin</t>
  </si>
  <si>
    <t>cptradename</t>
  </si>
  <si>
    <t>cplegalname</t>
  </si>
  <si>
    <t>cporiginaldocumentnumber</t>
  </si>
  <si>
    <t>cporiginaldocumentdate</t>
  </si>
  <si>
    <t>cpportcode</t>
  </si>
  <si>
    <t>cpdocumentnumber</t>
  </si>
  <si>
    <t>cpdocumentdate</t>
  </si>
  <si>
    <t>cpvalue</t>
  </si>
  <si>
    <t>cppos</t>
  </si>
  <si>
    <t>cpreversecharge</t>
  </si>
  <si>
    <t>cpdifferentialpercentage</t>
  </si>
  <si>
    <t>cptransactiontype</t>
  </si>
  <si>
    <t>cptaxpayertype</t>
  </si>
  <si>
    <t>cptaxablevalue</t>
  </si>
  <si>
    <t>cprate</t>
  </si>
  <si>
    <t>cpigstamount</t>
  </si>
  <si>
    <t>cpcgstamount</t>
  </si>
  <si>
    <t>cpsgstamount</t>
  </si>
  <si>
    <t>cpcessamount</t>
  </si>
  <si>
    <t>cpfilingstatus</t>
  </si>
  <si>
    <t>cpsuppliercancellationdate</t>
  </si>
  <si>
    <t>cpfilingdate</t>
  </si>
  <si>
    <t>cpfilingreturnperiod</t>
  </si>
  <si>
    <t>cpautodraftsource</t>
  </si>
  <si>
    <t>cpirn</t>
  </si>
  <si>
    <t>cpirngenerationdate</t>
  </si>
  <si>
    <t>cprefprecedingdocumentdetails</t>
  </si>
  <si>
    <t>cpavailableingstr2b</t>
  </si>
  <si>
    <t>cpgstr2breturnperiod</t>
  </si>
  <si>
    <t>cpavailableingstr98a</t>
  </si>
  <si>
    <t>cpitcavailability</t>
  </si>
  <si>
    <t>cpitcunavailabilityreason</t>
  </si>
  <si>
    <t>cpitcclaimmonth</t>
  </si>
  <si>
    <t>cpreturnperiod</t>
  </si>
  <si>
    <t>cpisamendment</t>
  </si>
  <si>
    <t>cporiginalreturnperiod</t>
  </si>
  <si>
    <t>cpamendedtype</t>
  </si>
  <si>
    <t>valuediff</t>
  </si>
  <si>
    <t>taxablediff</t>
  </si>
  <si>
    <t>taxdiff</t>
  </si>
  <si>
    <t>reason</t>
  </si>
  <si>
    <t>rec_date</t>
  </si>
  <si>
    <t>rec_time</t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</si>
  <si>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</si>
  <si>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</si>
  <si>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</si>
  <si>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dats</t>
    </r>
    <r>
      <rPr>
        <b/>
        <sz val="10"/>
        <color rgb="FF7F0074"/>
        <rFont val="Consolas"/>
        <family val="3"/>
      </rPr>
      <t>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</si>
  <si>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tims</t>
    </r>
    <r>
      <rPr>
        <b/>
        <sz val="10"/>
        <color rgb="FF7F0074"/>
        <rFont val="Consolas"/>
        <family val="3"/>
      </rPr>
      <t>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</si>
  <si>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80</t>
    </r>
    <r>
      <rPr>
        <b/>
        <sz val="10"/>
        <color rgb="FF7F0074"/>
        <rFont val="Consolas"/>
        <family val="3"/>
      </rPr>
      <t>);</t>
    </r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</si>
  <si>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</si>
  <si>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t>date</t>
  </si>
  <si>
    <t>time</t>
  </si>
  <si>
    <t>user</t>
  </si>
  <si>
    <t>comment</t>
  </si>
  <si>
    <t>year</t>
  </si>
  <si>
    <t>doc</t>
  </si>
  <si>
    <t>comp</t>
  </si>
  <si>
    <t>appl</t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</si>
  <si>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</si>
  <si>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t>score</t>
  </si>
  <si>
    <t>result</t>
  </si>
  <si>
    <r>
      <t>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);</t>
    </r>
  </si>
  <si>
    <t>type</t>
  </si>
  <si>
    <t>filing</t>
  </si>
  <si>
    <t>fil</t>
  </si>
  <si>
    <t>opt</t>
  </si>
  <si>
    <t>abap.char(15);</t>
  </si>
  <si>
    <t>abap.char(3);</t>
  </si>
  <si>
    <t>abap.char(40);</t>
  </si>
  <si>
    <t>num</t>
  </si>
  <si>
    <t>c6</t>
  </si>
  <si>
    <t>c15</t>
  </si>
  <si>
    <t>c16</t>
  </si>
  <si>
    <t>c40</t>
  </si>
  <si>
    <t>curr 13,2</t>
  </si>
  <si>
    <t>c3</t>
  </si>
  <si>
    <t>c200</t>
  </si>
  <si>
    <t>curr 11,2</t>
  </si>
  <si>
    <t>c20</t>
  </si>
  <si>
    <t>c50</t>
  </si>
  <si>
    <t>c2</t>
  </si>
  <si>
    <t>c1</t>
  </si>
  <si>
    <t>c4</t>
  </si>
  <si>
    <t>c8</t>
  </si>
  <si>
    <t>@AbapCatalog.dataMaintenance : #ALLOWED</t>
  </si>
  <si>
    <t xml:space="preserve">  returnperiod                   : zcy_det_returnperiod;</t>
  </si>
  <si>
    <t xml:space="preserve">  locationgstin                  : zcy_det_locationgstin;</t>
  </si>
  <si>
    <t xml:space="preserve">  documentnumber                 : zcy_det_documentnumber;</t>
  </si>
  <si>
    <t xml:space="preserve">  serialnumber                   : zcy_det_serialnumber;</t>
  </si>
  <si>
    <t xml:space="preserve">  documentdate                   : bldat;</t>
  </si>
  <si>
    <t xml:space="preserve">  billfromgstin                  : zcy_det_billfromgstin;</t>
  </si>
  <si>
    <t xml:space="preserve">  financialyear                  : zcy_det_financialyear;</t>
  </si>
  <si>
    <t xml:space="preserve">  mapperid                       : zcy_det_mapperid;</t>
  </si>
  <si>
    <t xml:space="preserve">  supplytype                     : zcy_det_supplytype;</t>
  </si>
  <si>
    <t xml:space="preserve">  purpose                        : zcy_det_purpose;</t>
  </si>
  <si>
    <t xml:space="preserve">  locationname                   : zcy_det_locationname;</t>
  </si>
  <si>
    <t xml:space="preserve">  irn                            : zcy_det_irn;</t>
  </si>
  <si>
    <t xml:space="preserve">  liabilitydischargereturnperiod : zcy_det_liabilitydischargeretu;</t>
  </si>
  <si>
    <t xml:space="preserve">  itcclaimreturnperiod           : zcy_det_itcclaimreturnperiod;</t>
  </si>
  <si>
    <t xml:space="preserve">  documenttype                   : zcy_det_documenttype;</t>
  </si>
  <si>
    <t xml:space="preserve">  transactiontype                : zcy_det_transactiontype;</t>
  </si>
  <si>
    <t xml:space="preserve">  taxpayertype                   : zcy_det_taxpayertype;</t>
  </si>
  <si>
    <t xml:space="preserve">  transactionnature              : zcy_det_transactionnature;</t>
  </si>
  <si>
    <t xml:space="preserve">  documentseriescode             : zcy_det_documentseriescode;</t>
  </si>
  <si>
    <t xml:space="preserve">  billfromlegalname              : zcy_det_billfromlegalname;</t>
  </si>
  <si>
    <t xml:space="preserve">  dispatchfromgstin              : zcy_det_dispatchfromgstin;</t>
  </si>
  <si>
    <t xml:space="preserve">  billtogstin                    : zcy_det_billtogstin;</t>
  </si>
  <si>
    <t xml:space="preserve">  billtolegalname                : zcy_det_billtolegalname;</t>
  </si>
  <si>
    <t xml:space="preserve">  shiptogstin                    : zcy_det_shiptogstin;</t>
  </si>
  <si>
    <t xml:space="preserve">  shiptolegalname                : zcy_det_shiptolegalname;</t>
  </si>
  <si>
    <t xml:space="preserve">  paymenttype                    : zcy_det_paymenttype;</t>
  </si>
  <si>
    <t xml:space="preserve">  paymentmode                    : zcy_det_paymentmode;</t>
  </si>
  <si>
    <t xml:space="preserve">  paymentamount                  : zcy_det_paymentamount;</t>
  </si>
  <si>
    <t xml:space="preserve">  advancepaidamount              : zcy_det_advancepaidamount;</t>
  </si>
  <si>
    <t xml:space="preserve">  paymentdate                    : zcy_det_paymentdate;</t>
  </si>
  <si>
    <t xml:space="preserve">  paymentremarks                 : zcy_det_paymentremarks;</t>
  </si>
  <si>
    <t xml:space="preserve">  paymentterms                   : zcy_det_paymentterms;</t>
  </si>
  <si>
    <t xml:space="preserve">  paymentinstruction             : zcy_det_paymentinstruction;</t>
  </si>
  <si>
    <t xml:space="preserve">  payeename                      : zcy_det_payeename;</t>
  </si>
  <si>
    <t xml:space="preserve">  payeeaccountnumber             : zcy_det_payeeaccountnumber;</t>
  </si>
  <si>
    <t xml:space="preserve">  paymentamountdue               : zcy_det_paymentamountdue;</t>
  </si>
  <si>
    <t xml:space="preserve">  ifsc                           : zcy_det_ifsc;</t>
  </si>
  <si>
    <t xml:space="preserve">  credittransfer                 : zcy_det_credittransfer;</t>
  </si>
  <si>
    <t xml:space="preserve">  directdebit                    : zcy_det_directdebit;</t>
  </si>
  <si>
    <t xml:space="preserve">  creditdays                     : zcy_det_creditdays;</t>
  </si>
  <si>
    <t xml:space="preserve">  creditavaileddate              : zcy_det_creditavaileddate;</t>
  </si>
  <si>
    <t xml:space="preserve">  creditreversaldate             : zcy_det_creditreversaldate;</t>
  </si>
  <si>
    <t xml:space="preserve">  refdocumentremarks             : zcy_det_refdocumentremarks;</t>
  </si>
  <si>
    <t xml:space="preserve">  refdocumentperiodstartdate     : zcy_det_refdocumentperiodstart;</t>
  </si>
  <si>
    <t xml:space="preserve">  refdocumentperiodenddate       : zcy_det_refdocumentperiodendda;</t>
  </si>
  <si>
    <t xml:space="preserve">  invno                          : zcy_det_invno;</t>
  </si>
  <si>
    <t xml:space="preserve">  invdt                          : zcy_det_invdt;</t>
  </si>
  <si>
    <t xml:space="preserve">  refcontractdetails             : zcy_det_refcontractdetails;</t>
  </si>
  <si>
    <t xml:space="preserve">  additionalsupportingdocumentde : zcy_det_additionalsupportingdo;</t>
  </si>
  <si>
    <t xml:space="preserve">  portcode                       : zcy_det_portcode;</t>
  </si>
  <si>
    <t xml:space="preserve">  documentcurrencycode           : zcy_det_documentcurrencycode;</t>
  </si>
  <si>
    <t xml:space="preserve">  destinationcountry             : zcy_det_destinationcountry;</t>
  </si>
  <si>
    <t xml:space="preserve">  pos                            : zcy_det_pos;</t>
  </si>
  <si>
    <t xml:space="preserve">  documentvalue                  : zcy_det_documentvalue;</t>
  </si>
  <si>
    <t xml:space="preserve">  documentdiscount               : zcy_det_documentdiscount;</t>
  </si>
  <si>
    <t xml:space="preserve">  documentothercharges           : zcy_det_documentothercharges;</t>
  </si>
  <si>
    <t xml:space="preserve">  documentvalueinforeigncurrency : zcy_det_documentvalueinforeign;</t>
  </si>
  <si>
    <t xml:space="preserve">  roundoffamount                 : zcy_det_roundoffamount;</t>
  </si>
  <si>
    <t xml:space="preserve">  differentialpercentage         : zcy_det_differentialpercentage;</t>
  </si>
  <si>
    <t xml:space="preserve">  reversecharge                  : zcy_det_reversecharge;</t>
  </si>
  <si>
    <t xml:space="preserve">  claimrefund                    : zcy_det_claimrefund;</t>
  </si>
  <si>
    <t xml:space="preserve">  underigstact                   : zcy_det_underigstact;</t>
  </si>
  <si>
    <t xml:space="preserve">  refundeligibility              : zcy_det_refundeligibility;</t>
  </si>
  <si>
    <t xml:space="preserve">  pnroruniquenumber              : zcy_det_pnroruniquenumber;</t>
  </si>
  <si>
    <t xml:space="preserve">  availprovisionalitc            : zcy_det_availprovisionalitc;</t>
  </si>
  <si>
    <t xml:space="preserve">  originalstatecode              : zcy_det_originalstatecode;</t>
  </si>
  <si>
    <t xml:space="preserve">  originaldocumentnumber         : zcy_det_originaldocumentnumber;</t>
  </si>
  <si>
    <t xml:space="preserve">  originaldocumentdate           : zcy_det_originaldocumentdate;</t>
  </si>
  <si>
    <t xml:space="preserve">  originalreturnperiod           : zcy_det_originalreturnperiod;</t>
  </si>
  <si>
    <t xml:space="preserve">  originaltaxablevalue           : zcy_det_originaltaxablevalue;</t>
  </si>
  <si>
    <t xml:space="preserve">  toemailaddresses               : zcy_det_toemailaddresses;</t>
  </si>
  <si>
    <t xml:space="preserve">  tomobilenumbers                : zcy_det_tomobilenumbers;</t>
  </si>
  <si>
    <t xml:space="preserve">  jworiginaldocumentnumber       : zcy_det_jworiginaldocumentnumb;</t>
  </si>
  <si>
    <t xml:space="preserve">  jworiginaldocumentdate         : zcy_det_jworiginaldocumentdate;</t>
  </si>
  <si>
    <t xml:space="preserve">  jwdocumentnumber               : zcy_det_jwdocumentnumber;</t>
  </si>
  <si>
    <t xml:space="preserve">  jwdocumentdate                 : zcy_det_jwdocumentdate;</t>
  </si>
  <si>
    <t xml:space="preserve">  autodraftsource                : zcy_det_autodraftsource;</t>
  </si>
  <si>
    <t xml:space="preserve">  irngenerationdate              : zcy_det_irngenerationdate;</t>
  </si>
  <si>
    <t xml:space="preserve">  isamendment                    : zcy_det_isamendment;</t>
  </si>
  <si>
    <t xml:space="preserve">  itcavailability                : zcy_det_itcavailability;</t>
  </si>
  <si>
    <t xml:space="preserve">  itcunavailabilityreason        : zcy_det_itcunavailabilityreaso;</t>
  </si>
  <si>
    <t xml:space="preserve">  custom2                        : zcy_det_custom2;</t>
  </si>
  <si>
    <t xml:space="preserve">  custom3                        : zcy_det_custom3;</t>
  </si>
  <si>
    <t xml:space="preserve">  custom5                        : zcy_det_custom5;</t>
  </si>
  <si>
    <t xml:space="preserve">  custom6                        : zcy_det_custom6;</t>
  </si>
  <si>
    <t xml:space="preserve">  custom7                        : zcy_det_custom7;</t>
  </si>
  <si>
    <t xml:space="preserve">  custom8                        : zcy_det_custom8;</t>
  </si>
  <si>
    <t xml:space="preserve">  custom10                       : zcy_det_custom10;</t>
  </si>
  <si>
    <t xml:space="preserve">  custom20                       : zcy_det_custom20;</t>
  </si>
  <si>
    <t xml:space="preserve">  natureofjwdone                 : zcy_det_natureofjwdone;</t>
  </si>
  <si>
    <t xml:space="preserve">  lossunitofmeasure              : zcy_det_lossunitofmeasure;</t>
  </si>
  <si>
    <t xml:space="preserve">  losstotalquantity              : zcy_det_losstotalquantity;</t>
  </si>
  <si>
    <t xml:space="preserve">  pusherrors                     : zcy_det_pusherrors;</t>
  </si>
  <si>
    <t xml:space="preserve">  pushstatus                     : zcy_det_pushstatus;</t>
  </si>
  <si>
    <t xml:space="preserve">  gstaction                      : zcy_det_gstaction;</t>
  </si>
  <si>
    <t xml:space="preserve">  reconciliationsection          : zcy_det_reconciliationsection;</t>
  </si>
  <si>
    <t xml:space="preserve">  pushdate                       : zcy_det_pushdate;</t>
  </si>
  <si>
    <t xml:space="preserve">  cancelleddate                  : zcy_det_cancelleddate;</t>
  </si>
  <si>
    <t xml:space="preserve">  ispregstregime                 : zcy_det_ispregstregime;</t>
  </si>
  <si>
    <t xml:space="preserve">  amendedtype                    : zcy_det_amendedtype;</t>
  </si>
  <si>
    <t xml:space="preserve">  isgstr3bfildate                : zcy_det_is3bfilingdate;</t>
  </si>
  <si>
    <t xml:space="preserve">  filingdate                     : zcy_det_filingdate;</t>
  </si>
  <si>
    <t xml:space="preserve">  filingreturnperiod             : zcy_det_filingreturnperiod;</t>
  </si>
  <si>
    <t xml:space="preserve">  filingstatus                   : zcy_det_filingstatus;</t>
  </si>
  <si>
    <t xml:space="preserve">  isservice                      : zcy_det_isservice;</t>
  </si>
  <si>
    <t xml:space="preserve">  hsn                            : zcy_det_hsn;</t>
  </si>
  <si>
    <t xml:space="preserve">  productcode                    : zcy_det_productcode;</t>
  </si>
  <si>
    <t xml:space="preserve">  description                    : zcy_det_description;</t>
  </si>
  <si>
    <t xml:space="preserve">  barcode                        : zcy_det_barcode;</t>
  </si>
  <si>
    <t xml:space="preserve">  uqc                            : zcy_det_uqc;</t>
  </si>
  <si>
    <t xml:space="preserve">  quantity                       : zcy_det_quantity;</t>
  </si>
  <si>
    <t xml:space="preserve">  freequantity                   : zcy_det_freequantity;</t>
  </si>
  <si>
    <t xml:space="preserve">  rate                           : zcy_det_rate;</t>
  </si>
  <si>
    <t xml:space="preserve">  cessrate                       : zcy_det_cessrate;</t>
  </si>
  <si>
    <t xml:space="preserve">  statecessrate                  : zcy_det_statecessrate;</t>
  </si>
  <si>
    <t xml:space="preserve">  cessnonadvaloremrate           : zcy_det_cessnonadvaloremrate;</t>
  </si>
  <si>
    <t xml:space="preserve">  priceperquantity               : zcy_det_priceperquantity;</t>
  </si>
  <si>
    <t xml:space="preserve">  discountamount                 : zcy_det_discountamount;</t>
  </si>
  <si>
    <t xml:space="preserve">  grossamount                    : zcy_det_grossamount;</t>
  </si>
  <si>
    <t xml:space="preserve">  othercharges                   : zcy_det_othercharges;</t>
  </si>
  <si>
    <t xml:space="preserve">  taxablevalue                   : zcy_det_taxablevalue;</t>
  </si>
  <si>
    <t xml:space="preserve">  igstamount                     : zcy_det_igstamount;</t>
  </si>
  <si>
    <t xml:space="preserve">  cgstamount                     : zcy_det_cgstamount;</t>
  </si>
  <si>
    <t xml:space="preserve">  sgstamount                     : zcy_det_sgstamount;</t>
  </si>
  <si>
    <t xml:space="preserve">  cessamount                     : zcy_det_cessamount;</t>
  </si>
  <si>
    <t xml:space="preserve">  statecessamount                : zcy_det_statecessamount;</t>
  </si>
  <si>
    <t xml:space="preserve">  cessnonadvaloremamount         : zcy_det_cessnonadvaloremamount;</t>
  </si>
  <si>
    <t xml:space="preserve">  statecessnonadvaloremamount    : zcy_det_statecessnonadvalorema;</t>
  </si>
  <si>
    <t xml:space="preserve">  taxtype                        : zcy_det_taxtype;</t>
  </si>
  <si>
    <t xml:space="preserve">  itceligibility                 : zcy_det_itceligibility;</t>
  </si>
  <si>
    <t xml:space="preserve">  itcigstamount                  : zcy_det_itcigstamount;</t>
  </si>
  <si>
    <t xml:space="preserve">  itccgstamount                  : zcy_det_itccgstamount;</t>
  </si>
  <si>
    <t xml:space="preserve">  itcsgstamount                  : zcy_det_itcsgstamount;</t>
  </si>
  <si>
    <t xml:space="preserve">  itccessamount                  : zcy_det_itccessamount;</t>
  </si>
  <si>
    <t xml:space="preserve">  customitem1                    : zcy_det_customitem1;</t>
  </si>
  <si>
    <t xml:space="preserve">  customitem2                    : zcy_det_customitem2;</t>
  </si>
  <si>
    <t xml:space="preserve">  customitem3                    : zcy_det_customitem3;</t>
  </si>
  <si>
    <t xml:space="preserve">  customitem4                    : zcy_det_customitem4;</t>
  </si>
  <si>
    <t xml:space="preserve">  customitem5                    : zcy_det_customitem5;</t>
  </si>
  <si>
    <t xml:space="preserve">  customitem6                    : zcy_det_customitem6;</t>
  </si>
  <si>
    <t xml:space="preserve">  customitem7                    : zcy_det_customitem7;</t>
  </si>
  <si>
    <t xml:space="preserve">  customitem8                    : zcy_det_customitem8;</t>
  </si>
  <si>
    <t xml:space="preserve">  customitem9                    : zcy_det_customitem9;</t>
  </si>
  <si>
    <t xml:space="preserve">  customitem10                   : zcy_det_customitem10;</t>
  </si>
  <si>
    <t xml:space="preserve">  cpgstin                        : zcy_det_cpgstin;</t>
  </si>
  <si>
    <t xml:space="preserve">  cptradename                    : zcy_det_cptradename;</t>
  </si>
  <si>
    <t xml:space="preserve">  cplegalname                    : zcy_det_cplegalname;</t>
  </si>
  <si>
    <t xml:space="preserve">  cporiginaldocumentnumber       : zcy_det_cporiginaldocumentnum;</t>
  </si>
  <si>
    <t xml:space="preserve">  cporiginaldocumentdate         : zcy_det_cporiginaldocumentdate;</t>
  </si>
  <si>
    <t xml:space="preserve">  cpportcode                     : zcy_det_cpportcode;</t>
  </si>
  <si>
    <t xml:space="preserve">  cpdocumentnumber               : zcy_det_cpdocumentnumber;</t>
  </si>
  <si>
    <t xml:space="preserve">  cpdocumentdate                 : zcy_det_cpdocumentdate;</t>
  </si>
  <si>
    <t xml:space="preserve">  cpvalue                        : zcy_det_cpvalue;</t>
  </si>
  <si>
    <t xml:space="preserve">  cppos                          : zcy_det_cppos;</t>
  </si>
  <si>
    <t xml:space="preserve">  cpreversecharge                : zcy_det_cpreversecharge;</t>
  </si>
  <si>
    <t xml:space="preserve">  cpdifferentialpercentage       : zcy_det_cpdifferentialpercent;</t>
  </si>
  <si>
    <t xml:space="preserve">  cptransactiontype              : zcy_det_cptransactiontype;</t>
  </si>
  <si>
    <t xml:space="preserve">  cptaxpayertype                 : zcy_det_cptaxpayertype;</t>
  </si>
  <si>
    <t xml:space="preserve">  cptaxablevalue                 : zcy_det_cptaxablevalue;</t>
  </si>
  <si>
    <t xml:space="preserve">  cprate                         : zcy_det_cprate;</t>
  </si>
  <si>
    <t xml:space="preserve">  cpigstamount                   : zcy_det_cpigstamount;</t>
  </si>
  <si>
    <t xml:space="preserve">  cpcgstamount                   : zcy_det_cpcgstamount;</t>
  </si>
  <si>
    <t xml:space="preserve">  cpsgstamount                   : zcy_det_cpsgstamount;</t>
  </si>
  <si>
    <t xml:space="preserve">  cpcessamount                   : zcy_det_cpcessamount;</t>
  </si>
  <si>
    <t xml:space="preserve">  cpfilingstatus                 : zcy_det_cpfilingstatus;</t>
  </si>
  <si>
    <t xml:space="preserve">  cpsuppliercancellationdate     : zcy_det_cpsuppliercancellation;</t>
  </si>
  <si>
    <t xml:space="preserve">  cpfilingdate                   : zcy_det_cpfilingdate;</t>
  </si>
  <si>
    <t xml:space="preserve">  cpfilingreturnperiod           : zcy_det_cpfilingreturnperiod;</t>
  </si>
  <si>
    <t xml:space="preserve">  cpautodraftsource              : zcy_det_cpautodraftsource;</t>
  </si>
  <si>
    <t xml:space="preserve">  cpirn                          : zcy_det_cpirn;</t>
  </si>
  <si>
    <t xml:space="preserve">  cpirngenerationdate            : zcy_det_cpirngenerationdate;</t>
  </si>
  <si>
    <t xml:space="preserve">  cprefprecedingdocumentdetails  : zcy_det_cprefprecedingdocument;</t>
  </si>
  <si>
    <t xml:space="preserve">  cpavailableingstr2b            : zcy_det_cpavailableingstr2b;</t>
  </si>
  <si>
    <t xml:space="preserve">  cpgstr2breturnperiod           : zcy_det_cpgstr2breturnperiod;</t>
  </si>
  <si>
    <t xml:space="preserve">  cpavailableingstr98a           : zcy_det_cpavailableingstr98a;</t>
  </si>
  <si>
    <t xml:space="preserve">  cpitcavailability              : zcy_det_cpitcavailability;</t>
  </si>
  <si>
    <t xml:space="preserve">  cpitcunavailabilityreason      : zcy_det_cpitcunavailabilityrea;</t>
  </si>
  <si>
    <t xml:space="preserve">  cpitcclaimmonth                : zcy_det_cpitcclaimmonth;</t>
  </si>
  <si>
    <t xml:space="preserve">  cpreturnperiod                 : zcy_det_cpreturnperiod;</t>
  </si>
  <si>
    <t xml:space="preserve">  cpisamendment                  : zcy_det_cpisamendment;</t>
  </si>
  <si>
    <t xml:space="preserve">  cporiginalreturnperiod         : zcy_det_cporiginalreturnperiod;</t>
  </si>
  <si>
    <t xml:space="preserve">  cpamendedtype                  : zcy_det_cpamendedtype;</t>
  </si>
  <si>
    <t xml:space="preserve">  valuediff                      : zcy_det_valuediff;</t>
  </si>
  <si>
    <t xml:space="preserve">  taxablediff                    : zcy_det_taxablediff;</t>
  </si>
  <si>
    <t xml:space="preserve">  taxdiff                        : zcy_det_taxdiff;</t>
  </si>
  <si>
    <t xml:space="preserve">  reason                         : zcy_det_reason;</t>
  </si>
  <si>
    <t xml:space="preserve">  rec_date                       : datum;</t>
  </si>
  <si>
    <t xml:space="preserve">  rec_time                       : uzeit;</t>
  </si>
  <si>
    <t xml:space="preserve">  p_pbf                          : abap_boolean;</t>
  </si>
  <si>
    <t xml:space="preserve">  p_jv                           : abap_boolean;</t>
  </si>
  <si>
    <t xml:space="preserve">  p_dbf                          : abap_boolean;</t>
  </si>
  <si>
    <t>Field &amp; Data Element Seprator
For Mapping Data Type</t>
  </si>
  <si>
    <t>Data Types After Corrected</t>
  </si>
  <si>
    <t>Extracting Data types from Already Created Data Types</t>
  </si>
  <si>
    <r>
      <t>@AbapCatalog.tableCategory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#TRANSPARENT</t>
    </r>
  </si>
  <si>
    <r>
      <t>@AbapCatalog.deliveryClass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#A</t>
    </r>
  </si>
  <si>
    <t>Field</t>
  </si>
  <si>
    <t>Data Element</t>
  </si>
  <si>
    <t>Data Type</t>
  </si>
  <si>
    <r>
      <t>key</t>
    </r>
    <r>
      <rPr>
        <sz val="10"/>
        <color rgb="FF000000"/>
        <rFont val="Consolas"/>
        <family val="3"/>
      </rPr>
      <t xml:space="preserve"> mandt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mandt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</si>
  <si>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locationgstin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</si>
  <si>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purpose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);</t>
    </r>
  </si>
  <si>
    <r>
      <t xml:space="preserve">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</si>
  <si>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supplytype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</si>
  <si>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documenttype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</si>
  <si>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transactiontype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</si>
  <si>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billfromgstin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</si>
  <si>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billfrompincode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</si>
  <si>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billfromphone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12</t>
    </r>
    <r>
      <rPr>
        <b/>
        <sz val="10"/>
        <color rgb="FF7F0074"/>
        <rFont val="Consolas"/>
        <family val="3"/>
      </rPr>
      <t>);</t>
    </r>
  </si>
  <si>
    <r>
      <t xml:space="preserve">dispatchfromgstin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</si>
  <si>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dispatchfrompincode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</si>
  <si>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billtogstin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</si>
  <si>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shiptogstin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</si>
  <si>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shiptopincode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</si>
  <si>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paymenttype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</si>
  <si>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paymentdate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</si>
  <si>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payeeaccountnumber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18</t>
    </r>
    <r>
      <rPr>
        <b/>
        <sz val="10"/>
        <color rgb="FF7F0074"/>
        <rFont val="Consolas"/>
        <family val="3"/>
      </rPr>
      <t>);</t>
    </r>
  </si>
  <si>
    <r>
      <t xml:space="preserve">ifsc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);</t>
    </r>
  </si>
  <si>
    <r>
      <t xml:space="preserve">creditavaileddate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</si>
  <si>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pos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</si>
  <si>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reversecharge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</si>
  <si>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claimrefund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</si>
  <si>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underigstact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</si>
  <si>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refundeligibility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</si>
  <si>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custom2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</si>
  <si>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</si>
  <si>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custom5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</si>
  <si>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custom6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</si>
  <si>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custom7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</si>
  <si>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custom8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</si>
  <si>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custom10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</si>
  <si>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itceligibility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</si>
  <si>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customitem1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</si>
  <si>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</si>
  <si>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</si>
  <si>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</si>
  <si>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customitem5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</si>
  <si>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customitem6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</si>
  <si>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customitem7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</si>
  <si>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customitem8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</si>
  <si>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customitem9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</si>
  <si>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@EndUserText.label           : </t>
    </r>
    <r>
      <rPr>
        <sz val="10"/>
        <color rgb="FF0A3069"/>
        <rFont val="Consolas"/>
        <family val="3"/>
      </rPr>
      <t>'Regular Returns Purchase Export'</t>
    </r>
  </si>
  <si>
    <t>@AbapCatalog.tableCategory   : #TRANSPARENT</t>
  </si>
  <si>
    <t>@AbapCatalog.deliveryClass   : #A</t>
  </si>
  <si>
    <t xml:space="preserve">  billfromtradename               : zcy_det_billfromtradename;</t>
  </si>
  <si>
    <t xml:space="preserve">  billfromvendorcode              : zcy_det_billfromvendorcode;</t>
  </si>
  <si>
    <t xml:space="preserve">  billfromaddress1                : zcy_det_billfromaddress1;</t>
  </si>
  <si>
    <t xml:space="preserve">  billfromaddress2                : zcy_det_billfromaddress2;</t>
  </si>
  <si>
    <t xml:space="preserve">  billfromcity                    : zcy_det_billfromcity;</t>
  </si>
  <si>
    <t xml:space="preserve">  billfromstatecode               : zcy_det_billfromstatecode;</t>
  </si>
  <si>
    <t xml:space="preserve">  billfrompincode                 : zcy_det_billfrompincode;</t>
  </si>
  <si>
    <t xml:space="preserve">  billfromphone                   : zcy_det_billfromphone;</t>
  </si>
  <si>
    <t xml:space="preserve">  billfromemail                   : zcy_det_billfromemail;</t>
  </si>
  <si>
    <t xml:space="preserve">  dispatchfromtradename           : zcy_det_dispatchfromtradename;</t>
  </si>
  <si>
    <t xml:space="preserve">  dispatchfromvendorcode          : zcy_det_dispatchfromvendorcode;</t>
  </si>
  <si>
    <t xml:space="preserve">  dispatchfromaddress1            : zcy_det_dispatchfromaddress1;</t>
  </si>
  <si>
    <t xml:space="preserve">  dispatchfromaddress2            : zcy_det_dispatchfromaddress2;</t>
  </si>
  <si>
    <t xml:space="preserve">  dispatchfromcity                : zcy_det_dispatchfromcity;</t>
  </si>
  <si>
    <t xml:space="preserve">  dispatchfromstatecode           : zcy_det_dispatchfromstatecode;</t>
  </si>
  <si>
    <t xml:space="preserve">  dispatchfrompincode             : zcy_det_dispatchfrompincode;</t>
  </si>
  <si>
    <t xml:space="preserve">  billtotradename                 : zcy_det_billtotradename;</t>
  </si>
  <si>
    <t xml:space="preserve">  billtovendorcode                : zcy_det_billtovendorcode;</t>
  </si>
  <si>
    <t xml:space="preserve">  billtoaddress1                  : zcy_det_billtoaddress1;</t>
  </si>
  <si>
    <t xml:space="preserve">  billtoaddress2                  : zcy_det_billtoaddress2;</t>
  </si>
  <si>
    <t xml:space="preserve">  billtocity                      : zcy_det_billtocity;</t>
  </si>
  <si>
    <t xml:space="preserve">  billtostatecode                 : zcy_det_billtostatecode;</t>
  </si>
  <si>
    <t xml:space="preserve">  billtopincode                   : zcy_det_billtopincode;</t>
  </si>
  <si>
    <t xml:space="preserve">  billtophone                     : zcy_det_billtophone;</t>
  </si>
  <si>
    <t xml:space="preserve">  billtoemail                     : zcy_det_billtoemail;</t>
  </si>
  <si>
    <t xml:space="preserve">  shiptotradename                 : zcy_det_shiptotradename;</t>
  </si>
  <si>
    <t xml:space="preserve">  shiptovendorcode                : zcy_det_shiptovendorcode;</t>
  </si>
  <si>
    <t xml:space="preserve">  shiptoaddress1                  : zcy_det_shiptoaddress1;</t>
  </si>
  <si>
    <t xml:space="preserve">  shiptoaddress2                  : zcy_det_shiptoaddress2;</t>
  </si>
  <si>
    <t xml:space="preserve">  shiptocity                      : zcy_det_shiptocity;</t>
  </si>
  <si>
    <t xml:space="preserve">  shiptostatecode                 : zcy_det_shiptostatecode;</t>
  </si>
  <si>
    <t xml:space="preserve">  shiptopincode                   : zcy_det_shiptopincode;</t>
  </si>
  <si>
    <t xml:space="preserve">  isavailableingstr2b             : zcy_det_isavailableingstr2b;</t>
  </si>
  <si>
    <t xml:space="preserve">  isgstr3bfiled                   : zcy_det_isgstr3bfiled;</t>
  </si>
  <si>
    <r>
      <t xml:space="preserve"> 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                          : zcy_det_name;</t>
    </r>
  </si>
  <si>
    <t>mandt not null;</t>
  </si>
  <si>
    <t>bldat;</t>
  </si>
  <si>
    <t>abap.curr(13,2);</t>
  </si>
  <si>
    <t>abap.quan(13,3);</t>
  </si>
  <si>
    <t>abap.curr(11,2);</t>
  </si>
  <si>
    <t>datum;</t>
  </si>
  <si>
    <t>abap_boolean;</t>
  </si>
  <si>
    <t>uzeit;</t>
  </si>
  <si>
    <t>key mandt</t>
  </si>
  <si>
    <t>key custom1</t>
  </si>
  <si>
    <t>key custom4</t>
  </si>
  <si>
    <t>key custom9</t>
  </si>
  <si>
    <t>shiptostatecode</t>
  </si>
  <si>
    <t>p_pbf</t>
  </si>
  <si>
    <t>p_jv</t>
  </si>
  <si>
    <t>p_dbf</t>
  </si>
  <si>
    <t>abap.char(6);</t>
  </si>
  <si>
    <t>abap.char(16);</t>
  </si>
  <si>
    <t>abap.char(20);</t>
  </si>
  <si>
    <t>abap.char(1);</t>
  </si>
  <si>
    <t>abap.char(13);</t>
  </si>
  <si>
    <t>abap.char(70);</t>
  </si>
  <si>
    <t>abap.char(4);</t>
  </si>
  <si>
    <t>abap.char(10);</t>
  </si>
  <si>
    <t>abap.char(2);</t>
  </si>
  <si>
    <t>abap.char(12);</t>
  </si>
  <si>
    <t>abap.char(18);</t>
  </si>
  <si>
    <t>abap.char(11);</t>
  </si>
  <si>
    <t>abap.char(8);</t>
  </si>
  <si>
    <t>abap.char(5);</t>
  </si>
  <si>
    <t>abap.char(30);</t>
  </si>
  <si>
    <t>abap.char(14);</t>
  </si>
  <si>
    <t>abap.char(7);</t>
  </si>
  <si>
    <t>abap.char(50);</t>
  </si>
  <si>
    <t>abap.char(64);</t>
  </si>
  <si>
    <t>abap.char(200);</t>
  </si>
  <si>
    <t>ZCY_TAB_RRP_E</t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</si>
  <si>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'Regular Returns Purchase Export.'</t>
    </r>
  </si>
  <si>
    <r>
      <t>@AbapCatalog.enhancement.category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#EXTENSIBLE_ANY</t>
    </r>
  </si>
  <si>
    <r>
      <t>@AbapCatalog.dataMaintenance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#ALLOWED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</si>
  <si>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zcy_tab_rrp_e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</si>
  <si>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custom1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</si>
  <si>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custom4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</si>
  <si>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custom9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</si>
  <si>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</si>
  <si>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serialnumber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</si>
  <si>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bldat</t>
    </r>
    <r>
      <rPr>
        <b/>
        <sz val="10"/>
        <color rgb="FF7F0074"/>
        <rFont val="Consolas"/>
        <family val="3"/>
      </rPr>
      <t>;</t>
    </r>
  </si>
  <si>
    <r>
      <t xml:space="preserve">financialyear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</si>
  <si>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mapperid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</si>
  <si>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locationname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</si>
  <si>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irn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70</t>
    </r>
    <r>
      <rPr>
        <b/>
        <sz val="10"/>
        <color rgb="FF7F0074"/>
        <rFont val="Consolas"/>
        <family val="3"/>
      </rPr>
      <t>);</t>
    </r>
  </si>
  <si>
    <r>
      <t xml:space="preserve">liabilitydischargereturnperiod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</si>
  <si>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itcclaimreturnperiod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</si>
  <si>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taxpayertype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</si>
  <si>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transactionnature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</si>
  <si>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documentseriescode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</si>
  <si>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billfromlegalname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</si>
  <si>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billfromtradename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</si>
  <si>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billfromvendorcode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</si>
  <si>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billfromaddress1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</si>
  <si>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billfromaddress2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</si>
  <si>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billfromcity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</si>
  <si>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billfromstatecode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</si>
  <si>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billfromemail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</si>
  <si>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dispatchfromtradename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</si>
  <si>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dispatchfromvendorcode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</si>
  <si>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dispatchfromaddress1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</si>
  <si>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dispatchfromaddress2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</si>
  <si>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dispatchfromcity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</si>
  <si>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dispatchfromstatecode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</si>
  <si>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billtolegalname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</si>
  <si>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billtotradename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</si>
  <si>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billtovendorcode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</si>
  <si>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billtoaddress1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</si>
  <si>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billtoaddress2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</si>
  <si>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billtocity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</si>
  <si>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billtostatecode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</si>
  <si>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billtopincode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</si>
  <si>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billtophone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12</t>
    </r>
    <r>
      <rPr>
        <b/>
        <sz val="10"/>
        <color rgb="FF7F0074"/>
        <rFont val="Consolas"/>
        <family val="3"/>
      </rPr>
      <t>);</t>
    </r>
  </si>
  <si>
    <r>
      <t xml:space="preserve">billtoemail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</si>
  <si>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shiptolegalname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</si>
  <si>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shiptotradename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</si>
  <si>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shiptovendorcode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</si>
  <si>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shiptoaddress1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</si>
  <si>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shiptoaddress2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</si>
  <si>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shiptocity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</si>
  <si>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shiptostatecode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</si>
  <si>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paymentmode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18</t>
    </r>
    <r>
      <rPr>
        <b/>
        <sz val="10"/>
        <color rgb="FF7F0074"/>
        <rFont val="Consolas"/>
        <family val="3"/>
      </rPr>
      <t>);</t>
    </r>
  </si>
  <si>
    <r>
      <t>@Semantics.amount.currencyCode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'vbak.waerk'</t>
    </r>
  </si>
  <si>
    <r>
      <t xml:space="preserve">paymentamount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</si>
  <si>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advancepaidamount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</si>
  <si>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paymentremarks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</si>
  <si>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paymentterms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</si>
  <si>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paymentinstruction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</si>
  <si>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payeename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</si>
  <si>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paymentamountdue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</si>
  <si>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credittransfer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</si>
  <si>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directdebit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</si>
  <si>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creditdays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</si>
  <si>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creditreversaldate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</si>
  <si>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refdocumentremarks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</si>
  <si>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refdocumentperiodstartdate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</si>
  <si>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refdocumentperiodenddate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</si>
  <si>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invno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</si>
  <si>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invdt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</si>
  <si>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refcontractdetails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</si>
  <si>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additionalsupportingdocumentde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</si>
  <si>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portcode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</si>
  <si>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documentcurrencycode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</si>
  <si>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destinationcountry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</si>
  <si>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documentvalue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</si>
  <si>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documentdiscount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</si>
  <si>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documentothercharges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</si>
  <si>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documentvalueinforeigncurrency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</si>
  <si>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roundoffamount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</si>
  <si>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differentialpercentage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);</t>
    </r>
  </si>
  <si>
    <r>
      <t xml:space="preserve">pnroruniquenumber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</si>
  <si>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availprovisionalitc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</si>
  <si>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originalstatecode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</si>
  <si>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originaldocumentnumber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</si>
  <si>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originaldocumentdate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</si>
  <si>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originalreturnperiod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</si>
  <si>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originaltaxablevalue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</si>
  <si>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toemailaddresses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</si>
  <si>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tomobilenumbers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</si>
  <si>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jworiginaldocumentnumber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</si>
  <si>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jworiginaldocumentdate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</si>
  <si>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jwdocumentnumber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</si>
  <si>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jwdocumentdate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</si>
  <si>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autodraftsource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</si>
  <si>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irngenerationdate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</si>
  <si>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isamendment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</si>
  <si>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isavailableingstr2b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</si>
  <si>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itcavailability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</si>
  <si>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itcunavailabilityreason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</si>
  <si>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custom20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</si>
  <si>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natureofjwdone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</si>
  <si>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lossunitofmeasure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</si>
  <si>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>@Semantics.quantity.unitOfMeasure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'vbap.zieme'</t>
    </r>
  </si>
  <si>
    <r>
      <t xml:space="preserve">losstotalquantity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quan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</si>
  <si>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pusherrors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</si>
  <si>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pushstatus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</si>
  <si>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gstaction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</si>
  <si>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reconciliationsection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</si>
  <si>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pushdate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</si>
  <si>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cancelleddate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</si>
  <si>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ispregstregime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</si>
  <si>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amendedtype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</si>
  <si>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isgstr3bfiled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</si>
  <si>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isgstr3bfildate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</si>
  <si>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filingdate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</si>
  <si>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filingreturnperiod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</si>
  <si>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filingstatus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</si>
  <si>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isservice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</si>
  <si>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hsn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</si>
  <si>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productcode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18</t>
    </r>
    <r>
      <rPr>
        <b/>
        <sz val="10"/>
        <color rgb="FF7F0074"/>
        <rFont val="Consolas"/>
        <family val="3"/>
      </rPr>
      <t>);</t>
    </r>
  </si>
  <si>
    <r>
      <t xml:space="preserve">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</si>
  <si>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description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</si>
  <si>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barcode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30</t>
    </r>
    <r>
      <rPr>
        <b/>
        <sz val="10"/>
        <color rgb="FF7F0074"/>
        <rFont val="Consolas"/>
        <family val="3"/>
      </rPr>
      <t>);</t>
    </r>
  </si>
  <si>
    <r>
      <t xml:space="preserve">uqc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</si>
  <si>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quan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</si>
  <si>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freequantity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);</t>
    </r>
  </si>
  <si>
    <r>
      <t>@Semantics.amount.currencyCode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'rv61a.koei1'</t>
    </r>
  </si>
  <si>
    <r>
      <t xml:space="preserve">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</si>
  <si>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cessrate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</si>
  <si>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statecessrate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</si>
  <si>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cessnonadvaloremrate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</si>
  <si>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priceperquantity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</si>
  <si>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>@Semantics.amount.currencyCode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'komk.waerk'</t>
    </r>
  </si>
  <si>
    <r>
      <t xml:space="preserve">discountamount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</si>
  <si>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grossamount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</si>
  <si>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othercharges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14</t>
    </r>
    <r>
      <rPr>
        <b/>
        <sz val="10"/>
        <color rgb="FF7F0074"/>
        <rFont val="Consolas"/>
        <family val="3"/>
      </rPr>
      <t>);</t>
    </r>
  </si>
  <si>
    <r>
      <t xml:space="preserve">taxablevalue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</si>
  <si>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igstamount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</si>
  <si>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</si>
  <si>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sgstamount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</si>
  <si>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</si>
  <si>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statecessamount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</si>
  <si>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cessnonadvaloremamount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</si>
  <si>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statecessnonadvaloremamount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14</t>
    </r>
    <r>
      <rPr>
        <b/>
        <sz val="10"/>
        <color rgb="FF7F0074"/>
        <rFont val="Consolas"/>
        <family val="3"/>
      </rPr>
      <t>);</t>
    </r>
  </si>
  <si>
    <r>
      <t xml:space="preserve">taxtype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);</t>
    </r>
  </si>
  <si>
    <r>
      <t xml:space="preserve">itcigstamount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</si>
  <si>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itccgstamount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</si>
  <si>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itcsgstamount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</si>
  <si>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itccessamount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</si>
  <si>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customitem10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</si>
  <si>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cpgstin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</si>
  <si>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cptradename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</si>
  <si>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</si>
  <si>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cporiginaldocumentnumber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</si>
  <si>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cporiginaldocumentdate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</si>
  <si>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cpportcode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</si>
  <si>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</si>
  <si>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cpdocumentdate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</si>
  <si>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</si>
  <si>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cppos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</si>
  <si>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cpreversecharge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</si>
  <si>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cpdifferentialpercentage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</si>
  <si>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cptransactiontype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</si>
  <si>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cptaxpayertype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</si>
  <si>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cptaxablevalue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</si>
  <si>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</si>
  <si>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cpigstamount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</si>
  <si>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cpcgstamount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</si>
  <si>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cpsgstamount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</si>
  <si>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</si>
  <si>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cpfilingstatus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</si>
  <si>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cpsuppliercancellationdate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</si>
  <si>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cpfilingdate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</si>
  <si>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cpfilingreturnperiod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</si>
  <si>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cpautodraftsource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</si>
  <si>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cpirn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64</t>
    </r>
    <r>
      <rPr>
        <b/>
        <sz val="10"/>
        <color rgb="FF7F0074"/>
        <rFont val="Consolas"/>
        <family val="3"/>
      </rPr>
      <t>);</t>
    </r>
  </si>
  <si>
    <r>
      <t xml:space="preserve">cpirngenerationdate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</si>
  <si>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cprefprecedingdocumentdetails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</si>
  <si>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cpavailableingstr2b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</si>
  <si>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cpgstr2breturnperiod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</si>
  <si>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cpavailableingstr98a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</si>
  <si>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cpitcavailability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</si>
  <si>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cpitcunavailabilityreason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</si>
  <si>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cpitcclaimmonth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</si>
  <si>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</si>
  <si>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cpisamendment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</si>
  <si>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cporiginalreturnperiod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</si>
  <si>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cpamendedtype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</si>
  <si>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valuediff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</si>
  <si>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taxablediff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</si>
  <si>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taxdiff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</si>
  <si>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reason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</si>
  <si>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rec_date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datum</t>
    </r>
    <r>
      <rPr>
        <b/>
        <sz val="10"/>
        <color rgb="FF7F0074"/>
        <rFont val="Consolas"/>
        <family val="3"/>
      </rPr>
      <t>;</t>
    </r>
  </si>
  <si>
    <r>
      <t xml:space="preserve">rec_time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uzeit</t>
    </r>
    <r>
      <rPr>
        <b/>
        <sz val="10"/>
        <color rgb="FF7F0074"/>
        <rFont val="Consolas"/>
        <family val="3"/>
      </rPr>
      <t>;</t>
    </r>
  </si>
  <si>
    <r>
      <t xml:space="preserve">p_pbf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abap_boolean</t>
    </r>
    <r>
      <rPr>
        <b/>
        <sz val="10"/>
        <color rgb="FF7F0074"/>
        <rFont val="Consolas"/>
        <family val="3"/>
      </rPr>
      <t>;</t>
    </r>
  </si>
  <si>
    <r>
      <t xml:space="preserve">p_jv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abap_boolean</t>
    </r>
    <r>
      <rPr>
        <b/>
        <sz val="10"/>
        <color rgb="FF7F0074"/>
        <rFont val="Consolas"/>
        <family val="3"/>
      </rPr>
      <t>;</t>
    </r>
  </si>
  <si>
    <r>
      <t xml:space="preserve">p_dbf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abap_boolean</t>
    </r>
    <r>
      <rPr>
        <b/>
        <sz val="10"/>
        <color rgb="FF7F0074"/>
        <rFont val="Consolas"/>
        <family val="3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</si>
</sst>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F2328"/>
      <name val="Consolas"/>
      <family val="3"/>
    </font>
    <font>
      <sz val="10"/>
      <color rgb="FF0A3069"/>
      <name val="Consolas"/>
      <family val="3"/>
    </font>
    <font>
      <sz val="10"/>
      <color rgb="FFCF222E"/>
      <name val="Consolas"/>
      <family val="3"/>
    </font>
    <font>
      <sz val="10"/>
      <color rgb="FF0550AE"/>
      <name val="Consolas"/>
      <family val="3"/>
    </font>
    <font>
      <sz val="10"/>
      <color rgb="FF000000"/>
      <name val="Consolas"/>
      <family val="3"/>
    </font>
    <font>
      <b/>
      <sz val="10"/>
      <color rgb="FF7F0074"/>
      <name val="Consolas"/>
      <family val="3"/>
    </font>
    <font>
      <sz val="10"/>
      <color rgb="FF3399FF"/>
      <name val="Consolas"/>
      <family val="3"/>
    </font>
    <font>
      <sz val="10"/>
      <color rgb="FF335CA2"/>
      <name val="Consolas"/>
      <family val="3"/>
    </font>
    <font>
      <u/>
      <sz val="10"/>
      <color rgb="FF000000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0" fillId="33" borderId="0" xfId="0" applyFont="1" applyFill="1" applyAlignment="1">
      <alignment horizontal="left" vertical="center" indent="1"/>
    </xf>
    <xf numFmtId="0" fontId="22" fillId="0" borderId="0" xfId="0" applyFont="1"/>
    <xf numFmtId="0" fontId="25" fillId="0" borderId="10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vertical="center"/>
    </xf>
    <xf numFmtId="0" fontId="0" fillId="0" borderId="14" xfId="0" applyBorder="1"/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0" fillId="0" borderId="13" xfId="0" applyBorder="1"/>
    <xf numFmtId="0" fontId="0" fillId="34" borderId="13" xfId="0" applyFill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18" fillId="0" borderId="10" xfId="0" applyFont="1" applyBorder="1" applyAlignment="1">
      <alignment horizontal="left" vertical="center" indent="1"/>
    </xf>
    <xf numFmtId="0" fontId="18" fillId="0" borderId="13" xfId="0" applyFont="1" applyBorder="1" applyAlignment="1">
      <alignment horizontal="left" vertical="center" indent="1"/>
    </xf>
    <xf numFmtId="0" fontId="0" fillId="0" borderId="0" xfId="0" applyBorder="1"/>
    <xf numFmtId="0" fontId="20" fillId="0" borderId="13" xfId="0" applyFont="1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18" fillId="0" borderId="15" xfId="0" applyFont="1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02.%20E-Invoice/Eway%20Bill.xlsx" TargetMode="External"/><Relationship Id="rId2" Type="http://schemas.openxmlformats.org/officeDocument/2006/relationships/externalLinkPath" Target="file:///D:\05.%20Daily%20(21-Mar-26)%20-%206GB\VSCode\Project\02.%20E-Invoice\Eway%20Bill.xlsx" TargetMode="External"/><Relationship Id="rId1" Type="http://schemas.openxmlformats.org/officeDocument/2006/relationships/externalLinkPath" Target="/05.%20Daily%20(21-Mar-26)%20-%206GB/VSCode/Project/02.%20E-Invoice/Eway%20Bi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mm_t_dc_iut"/>
      <sheetName val="Sheet1"/>
      <sheetName val="Sheet2"/>
      <sheetName val="Required OBJ"/>
      <sheetName val="Resolved Data Elem"/>
      <sheetName val="ZFI_T_DOCTYPE"/>
      <sheetName val="Sheet6"/>
      <sheetName val="Backup"/>
      <sheetName val="ZEINV_STATUS"/>
      <sheetName val="ZSD_S_GLOBAL_ST"/>
      <sheetName val="ZSD_T_EINV_LOG"/>
      <sheetName val="ZSD_T_EINV"/>
      <sheetName val="ZSD_T_CONDTYPE"/>
      <sheetName val="ZSD_T_EINV_UOM"/>
      <sheetName val="ZSD_T_BILLTYPE"/>
      <sheetName val="ZSD_T_SUPPDETAIL"/>
    </sheetNames>
    <sheetDataSet>
      <sheetData sheetId="0"/>
      <sheetData sheetId="1"/>
      <sheetData sheetId="2"/>
      <sheetData sheetId="3"/>
      <sheetData sheetId="4">
        <row r="4">
          <cell r="D4" t="str">
            <v>mandt</v>
          </cell>
          <cell r="E4" t="str">
            <v>mandt not null;</v>
          </cell>
        </row>
        <row r="5">
          <cell r="D5" t="str">
            <v>xblnr</v>
          </cell>
          <cell r="E5" t="str">
            <v>xblnr not null;</v>
          </cell>
        </row>
        <row r="6">
          <cell r="D6" t="str">
            <v>zde_document_date</v>
          </cell>
          <cell r="E6" t="str">
            <v>abap.dats not null;</v>
          </cell>
        </row>
        <row r="7">
          <cell r="D7" t="str">
            <v>zde_company_code</v>
          </cell>
          <cell r="E7" t="str">
            <v>abap.char(4) not null;</v>
          </cell>
        </row>
        <row r="8">
          <cell r="D8" t="str">
            <v>zde_fiscal_year</v>
          </cell>
          <cell r="E8" t="str">
            <v>abap.numc(4);</v>
          </cell>
        </row>
        <row r="9">
          <cell r="D9" t="str">
            <v>zde_location_gstin</v>
          </cell>
          <cell r="E9" t="str">
            <v>abap.char(20);</v>
          </cell>
        </row>
        <row r="10">
          <cell r="D10" t="str">
            <v>zde_billfromgstin</v>
          </cell>
          <cell r="E10" t="str">
            <v>abap.char(100);</v>
          </cell>
        </row>
        <row r="11">
          <cell r="D11" t="str">
            <v>zde_billfromname</v>
          </cell>
          <cell r="E11" t="str">
            <v>abap.char(100);</v>
          </cell>
        </row>
        <row r="12">
          <cell r="D12" t="str">
            <v>zde_billfromadd1</v>
          </cell>
          <cell r="E12" t="str">
            <v>abap.char(100);</v>
          </cell>
        </row>
        <row r="13">
          <cell r="D13" t="str">
            <v>zde_billfromadd2</v>
          </cell>
          <cell r="E13" t="str">
            <v>abap.char(100);</v>
          </cell>
        </row>
        <row r="14">
          <cell r="D14" t="str">
            <v>zde_billfrompincode</v>
          </cell>
          <cell r="E14" t="str">
            <v>abap.char(100);</v>
          </cell>
        </row>
        <row r="15">
          <cell r="D15" t="str">
            <v>zde_billfromcity</v>
          </cell>
          <cell r="E15" t="str">
            <v>abap.char(100);</v>
          </cell>
        </row>
        <row r="16">
          <cell r="D16" t="str">
            <v>zde_billtogstin</v>
          </cell>
          <cell r="E16" t="str">
            <v>abap.char(20);</v>
          </cell>
        </row>
        <row r="17">
          <cell r="D17" t="str">
            <v>zde_billtoname</v>
          </cell>
          <cell r="E17" t="str">
            <v>abap.char(100);</v>
          </cell>
        </row>
        <row r="18">
          <cell r="D18" t="str">
            <v>zde_billtoadd1</v>
          </cell>
          <cell r="E18" t="str">
            <v>abap.char(100);</v>
          </cell>
        </row>
        <row r="19">
          <cell r="D19" t="str">
            <v>zde_billtoadd2</v>
          </cell>
          <cell r="E19" t="str">
            <v>abap.char(100);</v>
          </cell>
        </row>
        <row r="20">
          <cell r="D20" t="str">
            <v>zde_billtopincode</v>
          </cell>
          <cell r="E20" t="str">
            <v>abap.char(6);</v>
          </cell>
        </row>
        <row r="21">
          <cell r="D21" t="str">
            <v>zde_billtocity</v>
          </cell>
          <cell r="E21" t="str">
            <v>abap.char(20);</v>
          </cell>
        </row>
        <row r="22">
          <cell r="D22" t="str">
            <v>abap.char(10)</v>
          </cell>
          <cell r="E22" t="str">
            <v>abap.char(10);</v>
          </cell>
        </row>
        <row r="23">
          <cell r="D23" t="str">
            <v>zde_dispatchfromgstin</v>
          </cell>
          <cell r="E23" t="str">
            <v>abap.char(20);</v>
          </cell>
        </row>
        <row r="24">
          <cell r="D24" t="str">
            <v>zde_dispatchfromname</v>
          </cell>
          <cell r="E24" t="str">
            <v>abap.char(100);</v>
          </cell>
        </row>
        <row r="25">
          <cell r="D25" t="str">
            <v>zde_dispatchfromadd1</v>
          </cell>
          <cell r="E25" t="str">
            <v>abap.char(100);</v>
          </cell>
        </row>
        <row r="26">
          <cell r="D26" t="str">
            <v>zde_dispatchfromadd2</v>
          </cell>
          <cell r="E26" t="str">
            <v>abap.char(100);</v>
          </cell>
        </row>
        <row r="27">
          <cell r="D27" t="str">
            <v>zde_dispatchfrompincode</v>
          </cell>
          <cell r="E27" t="str">
            <v>abap.char(6);</v>
          </cell>
        </row>
        <row r="28">
          <cell r="D28" t="str">
            <v>zde_dispatchfromcity</v>
          </cell>
          <cell r="E28" t="str">
            <v>abap.char(100);</v>
          </cell>
        </row>
        <row r="29">
          <cell r="D29" t="str">
            <v>zde_shiptogstin</v>
          </cell>
          <cell r="E29" t="str">
            <v>abap.char(20);</v>
          </cell>
        </row>
        <row r="30">
          <cell r="D30" t="str">
            <v>zde_shiptoname</v>
          </cell>
          <cell r="E30" t="str">
            <v>abap.char(100);</v>
          </cell>
        </row>
        <row r="31">
          <cell r="D31" t="str">
            <v>zde_shiptoadd1</v>
          </cell>
          <cell r="E31" t="str">
            <v>abap.char(100);</v>
          </cell>
        </row>
        <row r="32">
          <cell r="D32" t="str">
            <v>zde_shiptoadd2</v>
          </cell>
          <cell r="E32" t="str">
            <v>abap.char(100);</v>
          </cell>
        </row>
        <row r="33">
          <cell r="D33" t="str">
            <v>zde_shiptopincode</v>
          </cell>
          <cell r="E33" t="str">
            <v>abap.char(6);</v>
          </cell>
        </row>
        <row r="34">
          <cell r="D34" t="str">
            <v>abap.char(10)</v>
          </cell>
          <cell r="E34" t="str">
            <v>abap.char(10);</v>
          </cell>
        </row>
        <row r="35">
          <cell r="D35" t="str">
            <v>zde_shiptocity</v>
          </cell>
          <cell r="E35" t="str">
            <v>abap.char(100);</v>
          </cell>
        </row>
        <row r="36">
          <cell r="D36" t="str">
            <v>zde_reference_doc_number</v>
          </cell>
          <cell r="E36" t="str">
            <v>abap.char(16);</v>
          </cell>
        </row>
        <row r="37">
          <cell r="D37" t="str">
            <v>zde_doumenttype</v>
          </cell>
          <cell r="E37" t="str">
            <v>abap.char(20);</v>
          </cell>
        </row>
        <row r="38">
          <cell r="D38" t="str">
            <v>zde_doumenttype</v>
          </cell>
          <cell r="E38" t="str">
            <v>abap.char(20);</v>
          </cell>
        </row>
        <row r="39">
          <cell r="D39" t="str">
            <v>zde_doumenttype</v>
          </cell>
          <cell r="E39" t="str">
            <v>abap.char(20);</v>
          </cell>
        </row>
        <row r="40">
          <cell r="D40" t="str">
            <v>zde_pending</v>
          </cell>
          <cell r="E40" t="str">
            <v>abap.char(1);</v>
          </cell>
        </row>
        <row r="41">
          <cell r="D41" t="str">
            <v>zde_fail</v>
          </cell>
          <cell r="E41" t="str">
            <v>abap.char(1);</v>
          </cell>
        </row>
        <row r="42">
          <cell r="D42" t="str">
            <v>zde_sucess</v>
          </cell>
          <cell r="E42" t="str">
            <v>abap.char(1);</v>
          </cell>
        </row>
        <row r="43">
          <cell r="D43" t="str">
            <v>zde_cancel</v>
          </cell>
          <cell r="E43" t="str">
            <v>abap.char(1);</v>
          </cell>
        </row>
        <row r="44">
          <cell r="D44" t="str">
            <v>zde_cancel_date</v>
          </cell>
          <cell r="E44" t="str">
            <v>abap.char(8);</v>
          </cell>
        </row>
        <row r="45">
          <cell r="D45" t="str">
            <v>zde_cancel_by</v>
          </cell>
          <cell r="E45" t="str">
            <v>abap.char(50);</v>
          </cell>
        </row>
        <row r="46">
          <cell r="D46" t="str">
            <v>zde_cancel_time</v>
          </cell>
          <cell r="E46" t="str">
            <v>abap.tims;</v>
          </cell>
        </row>
        <row r="47">
          <cell r="D47" t="str">
            <v>zde_entry_date</v>
          </cell>
          <cell r="E47" t="str">
            <v>abap.dats;</v>
          </cell>
        </row>
        <row r="48">
          <cell r="D48" t="str">
            <v>zde_entry_time</v>
          </cell>
          <cell r="E48" t="str">
            <v>abap.tims;</v>
          </cell>
        </row>
        <row r="49">
          <cell r="D49" t="str">
            <v>zde_inv_module</v>
          </cell>
          <cell r="E49" t="str">
            <v>abap.char(20);</v>
          </cell>
        </row>
        <row r="50">
          <cell r="D50" t="str">
            <v>zde_einv_error</v>
          </cell>
          <cell r="E50" t="str">
            <v>abap.char(1333);</v>
          </cell>
        </row>
        <row r="51">
          <cell r="D51" t="str">
            <v>zde_irn</v>
          </cell>
          <cell r="E51" t="str">
            <v>abap.char(100);</v>
          </cell>
        </row>
        <row r="52">
          <cell r="D52" t="str">
            <v>zde_buss_place</v>
          </cell>
          <cell r="E52" t="str">
            <v>abap.char(4);</v>
          </cell>
        </row>
        <row r="53">
          <cell r="D53" t="str">
            <v>zde_ack_no</v>
          </cell>
          <cell r="E53" t="str">
            <v>abap.char(20);</v>
          </cell>
        </row>
        <row r="54">
          <cell r="D54" t="str">
            <v>zde_ack_date</v>
          </cell>
          <cell r="E54" t="str">
            <v>abap.char(21);</v>
          </cell>
        </row>
        <row r="55">
          <cell r="D55" t="str">
            <v>zde_qrcode</v>
          </cell>
          <cell r="E55" t="str">
            <v>abap.string(0);</v>
          </cell>
        </row>
        <row r="56">
          <cell r="D56" t="str">
            <v>zde_signed_qrcode</v>
          </cell>
          <cell r="E56" t="str">
            <v>abap.string(0);</v>
          </cell>
        </row>
        <row r="57">
          <cell r="D57" t="str">
            <v>zde_signed_inv</v>
          </cell>
          <cell r="E57" t="str">
            <v>abap.string(0);</v>
          </cell>
        </row>
        <row r="58">
          <cell r="D58" t="str">
            <v>zde_ewaybill_number</v>
          </cell>
          <cell r="E58" t="str">
            <v>abap.char(50);</v>
          </cell>
        </row>
        <row r="59">
          <cell r="D59" t="str">
            <v>zde_ewaybill_valid_upto</v>
          </cell>
          <cell r="E59" t="str">
            <v>abap.char(50);</v>
          </cell>
        </row>
        <row r="60">
          <cell r="D60" t="str">
            <v>zde_ewaybill_generated</v>
          </cell>
          <cell r="E60" t="str">
            <v>abap.char(1);</v>
          </cell>
        </row>
        <row r="61">
          <cell r="D61" t="str">
            <v>zde_ewaybill_error</v>
          </cell>
          <cell r="E61" t="str">
            <v>abap.char(200);</v>
          </cell>
        </row>
        <row r="62">
          <cell r="D62" t="str">
            <v>zde_ewaybill_distance</v>
          </cell>
          <cell r="E62" t="str">
            <v>abap.char(10);</v>
          </cell>
        </row>
        <row r="63">
          <cell r="D63" t="str">
            <v>zde_eway_gen</v>
          </cell>
          <cell r="E63" t="str">
            <v>abap.char(1);</v>
          </cell>
        </row>
        <row r="64">
          <cell r="D64" t="str">
            <v>zde_eway_fail</v>
          </cell>
          <cell r="E64" t="str">
            <v>abap.char(1);</v>
          </cell>
        </row>
        <row r="65">
          <cell r="D65" t="str">
            <v>zde_eway_cancel</v>
          </cell>
          <cell r="E65" t="str">
            <v>abap.char(1);</v>
          </cell>
        </row>
        <row r="66">
          <cell r="D66" t="str">
            <v>zde_eway_cancel_date</v>
          </cell>
          <cell r="E66" t="str">
            <v>abap.dats;</v>
          </cell>
        </row>
        <row r="67">
          <cell r="D67" t="str">
            <v>zde_eway_cancel_by</v>
          </cell>
          <cell r="E67" t="str">
            <v>abap.char(12);</v>
          </cell>
        </row>
        <row r="68">
          <cell r="D68" t="str">
            <v>zde_eway_cancel_time</v>
          </cell>
          <cell r="E68" t="str">
            <v>abap.tims;</v>
          </cell>
        </row>
        <row r="69">
          <cell r="D69" t="str">
            <v>zde_plant</v>
          </cell>
          <cell r="E69" t="str">
            <v>abap.char(4);</v>
          </cell>
        </row>
        <row r="70">
          <cell r="D70" t="str">
            <v>zde_transporter_id</v>
          </cell>
          <cell r="E70" t="str">
            <v>abap.char(20);</v>
          </cell>
        </row>
        <row r="71">
          <cell r="D71" t="str">
            <v>zde_transporter_name</v>
          </cell>
          <cell r="E71" t="str">
            <v>abap.char(100);</v>
          </cell>
        </row>
        <row r="72">
          <cell r="D72" t="str">
            <v>zde_tranport_mode</v>
          </cell>
          <cell r="E72" t="str">
            <v>abap.char(10);</v>
          </cell>
        </row>
        <row r="73">
          <cell r="D73" t="str">
            <v>zde_transporter_doc_num</v>
          </cell>
          <cell r="E73" t="str">
            <v>abap.char(20);</v>
          </cell>
        </row>
        <row r="74">
          <cell r="D74" t="str">
            <v>zde_transporter_doc_date</v>
          </cell>
          <cell r="E74" t="str">
            <v>abap.dats;</v>
          </cell>
        </row>
        <row r="75">
          <cell r="D75" t="str">
            <v>zde_vehicle_number</v>
          </cell>
          <cell r="E75" t="str">
            <v>abap.char(10);</v>
          </cell>
        </row>
        <row r="76">
          <cell r="D76" t="str">
            <v>zde_vehicle_type</v>
          </cell>
          <cell r="E76" t="str">
            <v>abap.char(1);</v>
          </cell>
        </row>
        <row r="77">
          <cell r="D77" t="str">
            <v>zde_irn_status</v>
          </cell>
          <cell r="E77" t="str">
            <v>abap.string(0);</v>
          </cell>
        </row>
        <row r="78">
          <cell r="D78" t="str">
            <v>zde_ewb_status</v>
          </cell>
          <cell r="E78" t="str">
            <v>abap.string(0);</v>
          </cell>
        </row>
        <row r="79">
          <cell r="D79" t="str">
            <v>abap.string(256)</v>
          </cell>
          <cell r="E79" t="str">
            <v>abap.string(256);</v>
          </cell>
        </row>
        <row r="80">
          <cell r="D80" t="str">
            <v>abap.string(256)</v>
          </cell>
          <cell r="E80" t="str">
            <v>abap.string(256);</v>
          </cell>
        </row>
        <row r="81">
          <cell r="D81" t="str">
            <v>abap.string(256)</v>
          </cell>
          <cell r="E81" t="str">
            <v>abap.string(256);</v>
          </cell>
        </row>
        <row r="82">
          <cell r="D82" t="str">
            <v>abap.string(256)</v>
          </cell>
          <cell r="E82" t="str">
            <v>abap.string(256);</v>
          </cell>
        </row>
        <row r="83">
          <cell r="D83" t="str">
            <v>abap.string(256)</v>
          </cell>
          <cell r="E83" t="str">
            <v>abap.string(256);</v>
          </cell>
        </row>
        <row r="84">
          <cell r="D84" t="str">
            <v>vbeln</v>
          </cell>
          <cell r="E84" t="str">
            <v>vbeln;</v>
          </cell>
        </row>
        <row r="85">
          <cell r="D85" t="str">
            <v>abap.char(100)</v>
          </cell>
          <cell r="E85" t="str">
            <v>abap.char(100);</v>
          </cell>
        </row>
        <row r="86">
          <cell r="D86" t="str">
            <v>abap.char(100)</v>
          </cell>
          <cell r="E86" t="str">
            <v>abap.char(100);</v>
          </cell>
        </row>
        <row r="87">
          <cell r="D87" t="str">
            <v>abap.char(100)</v>
          </cell>
          <cell r="E87" t="str">
            <v>abap.char(100);</v>
          </cell>
        </row>
        <row r="88">
          <cell r="D88" t="str">
            <v>abap.char(100)</v>
          </cell>
          <cell r="E88" t="str">
            <v>abap.char(100);</v>
          </cell>
        </row>
        <row r="89">
          <cell r="D89" t="str">
            <v>abap.char(100)</v>
          </cell>
          <cell r="E89" t="str">
            <v>abap.char(100);</v>
          </cell>
        </row>
        <row r="90">
          <cell r="D90" t="str">
            <v>abap.char(100)</v>
          </cell>
          <cell r="E90" t="str">
            <v>abap.char(100);</v>
          </cell>
        </row>
        <row r="91">
          <cell r="D91" t="str">
            <v>abap.char(100)</v>
          </cell>
          <cell r="E91" t="str">
            <v>abap.char(100);</v>
          </cell>
        </row>
        <row r="92">
          <cell r="D92" t="str">
            <v>abap.char(100)</v>
          </cell>
          <cell r="E92" t="str">
            <v>abap.char(100);</v>
          </cell>
        </row>
        <row r="93">
          <cell r="D93" t="str">
            <v>abap.char(100)</v>
          </cell>
          <cell r="E93" t="str">
            <v>abap.char(100);</v>
          </cell>
        </row>
        <row r="94">
          <cell r="D94" t="str">
            <v>abp_creation_user</v>
          </cell>
          <cell r="E94" t="str">
            <v>abp_creation_user;</v>
          </cell>
        </row>
        <row r="95">
          <cell r="D95" t="str">
            <v>abap.dats</v>
          </cell>
          <cell r="E95" t="str">
            <v>abap.dats;</v>
          </cell>
        </row>
        <row r="96">
          <cell r="D96" t="str">
            <v>abp_lastchange_user</v>
          </cell>
          <cell r="E96" t="str">
            <v>abp_lastchange_user;</v>
          </cell>
        </row>
        <row r="97">
          <cell r="D97" t="str">
            <v>abp_lastchange_tstmpl</v>
          </cell>
          <cell r="E97" t="str">
            <v>abp_lastchange_tstmpl;</v>
          </cell>
        </row>
        <row r="98">
          <cell r="D98" t="str">
            <v>abp_locinst_lastchange_tstmpl</v>
          </cell>
          <cell r="E98" t="str">
            <v>abp_locinst_lastchange_tstmpl;</v>
          </cell>
        </row>
        <row r="99">
          <cell r="D99" t="str">
            <v>mandt</v>
          </cell>
          <cell r="E99" t="str">
            <v>mandt not null;</v>
          </cell>
        </row>
        <row r="100">
          <cell r="D100" t="str">
            <v>zde_condition_type</v>
          </cell>
          <cell r="E100" t="str">
            <v>abap.char(10) not null;</v>
          </cell>
        </row>
        <row r="101">
          <cell r="D101" t="str">
            <v>zde_category</v>
          </cell>
          <cell r="E101" t="str">
            <v>abap.char(4);</v>
          </cell>
        </row>
        <row r="102">
          <cell r="D102" t="str">
            <v>zde_sap_uom</v>
          </cell>
          <cell r="E102" t="str">
            <v>abap.unit(3) not null;</v>
          </cell>
        </row>
        <row r="103">
          <cell r="D103" t="str">
            <v>zde_gst_uom</v>
          </cell>
          <cell r="E103" t="str">
            <v>abap.unit(3);</v>
          </cell>
        </row>
        <row r="104">
          <cell r="D104" t="str">
            <v>zde_doc_type</v>
          </cell>
          <cell r="E104" t="str">
            <v>abap.char(3);</v>
          </cell>
        </row>
        <row r="105">
          <cell r="D105" t="str">
            <v>zde_warehouse</v>
          </cell>
          <cell r="E105" t="str">
            <v>abap.char(3) not null;</v>
          </cell>
        </row>
        <row r="106">
          <cell r="D106" t="str">
            <v>zde_shipping_point</v>
          </cell>
          <cell r="E106" t="str">
            <v>abap.char(4) not null;</v>
          </cell>
        </row>
        <row r="107">
          <cell r="D107" t="str">
            <v>zde_address1</v>
          </cell>
          <cell r="E107" t="str">
            <v>abap.char(100);</v>
          </cell>
        </row>
        <row r="108">
          <cell r="D108" t="str">
            <v>zde_address2</v>
          </cell>
          <cell r="E108" t="str">
            <v>abap.char(100);</v>
          </cell>
        </row>
        <row r="109">
          <cell r="D109" t="str">
            <v>zde_place</v>
          </cell>
          <cell r="E109" t="str">
            <v>abap.char(40);</v>
          </cell>
        </row>
        <row r="110">
          <cell r="D110" t="str">
            <v>zde_pincode</v>
          </cell>
          <cell r="E110" t="str">
            <v>abap.char(10);</v>
          </cell>
        </row>
        <row r="111">
          <cell r="D111" t="str">
            <v>zde_locationgstin</v>
          </cell>
          <cell r="E111" t="str">
            <v>abap.char(15);</v>
          </cell>
        </row>
        <row r="112">
          <cell r="D112" t="str">
            <v>zde_company_code</v>
          </cell>
          <cell r="E112" t="str">
            <v>abap.char(4);</v>
          </cell>
        </row>
        <row r="113">
          <cell r="D113" t="str">
            <v>zde_documentnumber</v>
          </cell>
          <cell r="E113" t="str">
            <v>abap.char(16);</v>
          </cell>
        </row>
        <row r="114">
          <cell r="D114" t="str">
            <v>zde_documentdate</v>
          </cell>
          <cell r="E114" t="str">
            <v>abap.char(10);</v>
          </cell>
        </row>
        <row r="115">
          <cell r="D115" t="str">
            <v>zde_purpose1</v>
          </cell>
          <cell r="E115" t="str">
            <v>abap.char(13);</v>
          </cell>
        </row>
        <row r="116">
          <cell r="D116" t="str">
            <v>zde_sapmodule</v>
          </cell>
          <cell r="E116" t="str">
            <v>abap.char(2);</v>
          </cell>
        </row>
        <row r="117">
          <cell r="D117" t="str">
            <v>gjahr</v>
          </cell>
          <cell r="E117" t="str">
            <v>gjahr;</v>
          </cell>
        </row>
        <row r="118">
          <cell r="D118" t="str">
            <v>zde_document</v>
          </cell>
          <cell r="E118" t="str">
            <v>abap.char(12);</v>
          </cell>
        </row>
        <row r="119">
          <cell r="D119" t="str">
            <v>bupla</v>
          </cell>
          <cell r="E119" t="str">
            <v>bupla;</v>
          </cell>
        </row>
        <row r="120">
          <cell r="D120" t="str">
            <v>zde_locationlegalname</v>
          </cell>
          <cell r="E120" t="str">
            <v>abap.char(50);</v>
          </cell>
        </row>
        <row r="121">
          <cell r="D121" t="str">
            <v>zde_returnperiod</v>
          </cell>
          <cell r="E121" t="str">
            <v>abap.char(6);</v>
          </cell>
        </row>
        <row r="122">
          <cell r="D122" t="str">
            <v>zde_lie_dis_period</v>
          </cell>
          <cell r="E122" t="str">
            <v>abap.char(20);</v>
          </cell>
        </row>
        <row r="123">
          <cell r="D123" t="str">
            <v>zde_auto_push_period</v>
          </cell>
          <cell r="E123" t="str">
            <v>abap.char(20);</v>
          </cell>
        </row>
        <row r="124">
          <cell r="D124" t="str">
            <v>zde_supplytype</v>
          </cell>
          <cell r="E124" t="str">
            <v>abap.char(1);</v>
          </cell>
        </row>
        <row r="125">
          <cell r="D125" t="str">
            <v>zde_irn1</v>
          </cell>
          <cell r="E125" t="str">
            <v>abap.char(64);</v>
          </cell>
        </row>
        <row r="126">
          <cell r="D126" t="str">
            <v>zde_documenttype</v>
          </cell>
          <cell r="E126" t="str">
            <v>abap.char(3);</v>
          </cell>
        </row>
        <row r="127">
          <cell r="D127" t="str">
            <v>zde_transactiontype</v>
          </cell>
          <cell r="E127" t="str">
            <v>abap.char(6);</v>
          </cell>
        </row>
        <row r="128">
          <cell r="D128" t="str">
            <v>char50</v>
          </cell>
          <cell r="E128" t="str">
            <v>char50;</v>
          </cell>
        </row>
        <row r="129">
          <cell r="D129" t="str">
            <v>zde_transaction_type_des</v>
          </cell>
          <cell r="E129" t="str">
            <v>abap.char(30);</v>
          </cell>
        </row>
        <row r="130">
          <cell r="D130" t="str">
            <v>zde_seriescode</v>
          </cell>
          <cell r="E130" t="str">
            <v>abap.char(15);</v>
          </cell>
        </row>
        <row r="131">
          <cell r="D131" t="str">
            <v>zde_referencedocumentnumber</v>
          </cell>
          <cell r="E131" t="str">
            <v>abap.char(16);</v>
          </cell>
        </row>
        <row r="132">
          <cell r="D132" t="str">
            <v>zde_referencedocumentdate</v>
          </cell>
          <cell r="E132" t="str">
            <v>abap.char(10);</v>
          </cell>
        </row>
        <row r="133">
          <cell r="D133" t="str">
            <v>zde_transactionmode</v>
          </cell>
          <cell r="E133" t="str">
            <v>abap.char(20);</v>
          </cell>
        </row>
        <row r="134">
          <cell r="D134" t="str">
            <v>zde_billfromgstin1</v>
          </cell>
          <cell r="E134" t="str">
            <v>abap.char(15);</v>
          </cell>
        </row>
        <row r="135">
          <cell r="D135" t="str">
            <v>zde_billfromlegalname</v>
          </cell>
          <cell r="E135" t="str">
            <v>abap.char(50);</v>
          </cell>
        </row>
        <row r="136">
          <cell r="D136" t="str">
            <v>zde_billfromtradename</v>
          </cell>
          <cell r="E136" t="str">
            <v>abap.char(30);</v>
          </cell>
        </row>
        <row r="137">
          <cell r="D137" t="str">
            <v>zde_billfrombuildingno</v>
          </cell>
          <cell r="E137" t="str">
            <v>abap.char(60);</v>
          </cell>
        </row>
        <row r="138">
          <cell r="D138" t="str">
            <v>zde_billfrombuildingname</v>
          </cell>
          <cell r="E138" t="str">
            <v>abap.char(60);</v>
          </cell>
        </row>
        <row r="139">
          <cell r="D139" t="str">
            <v>zde_billfromflatno</v>
          </cell>
          <cell r="E139" t="str">
            <v>abap.char(10);</v>
          </cell>
        </row>
        <row r="140">
          <cell r="D140" t="str">
            <v>zde_billfromaddress1</v>
          </cell>
          <cell r="E140" t="str">
            <v>abap.char(50);</v>
          </cell>
        </row>
        <row r="141">
          <cell r="D141" t="str">
            <v>zde_billfromaddress2</v>
          </cell>
          <cell r="E141" t="str">
            <v>abap.char(50);</v>
          </cell>
        </row>
        <row r="142">
          <cell r="D142" t="str">
            <v>zde_billfromcity1</v>
          </cell>
          <cell r="E142" t="str">
            <v>abap.char(60);</v>
          </cell>
        </row>
        <row r="143">
          <cell r="D143" t="str">
            <v>zde_billfromdistrict</v>
          </cell>
          <cell r="E143" t="str">
            <v>abap.char(60);</v>
          </cell>
        </row>
        <row r="144">
          <cell r="D144" t="str">
            <v>zde_billfromstatecode</v>
          </cell>
          <cell r="E144" t="str">
            <v>abap.char(50);</v>
          </cell>
        </row>
        <row r="145">
          <cell r="D145" t="str">
            <v>zde_billfrompincode1</v>
          </cell>
          <cell r="E145" t="str">
            <v>abap.char(6);</v>
          </cell>
        </row>
        <row r="146">
          <cell r="D146" t="str">
            <v>zde_billfromphone</v>
          </cell>
          <cell r="E146" t="str">
            <v>abap.char(12);</v>
          </cell>
        </row>
        <row r="147">
          <cell r="D147" t="str">
            <v>zde_billfromemail</v>
          </cell>
          <cell r="E147" t="str">
            <v>abap.char(50);</v>
          </cell>
        </row>
        <row r="148">
          <cell r="D148" t="str">
            <v>zde_dispatchfromgstin1</v>
          </cell>
          <cell r="E148" t="str">
            <v>abap.char(15);</v>
          </cell>
        </row>
        <row r="149">
          <cell r="D149" t="str">
            <v>zde_dipatch_trade_name</v>
          </cell>
          <cell r="E149" t="str">
            <v>abap.char(20);</v>
          </cell>
        </row>
        <row r="150">
          <cell r="D150" t="str">
            <v>zde_dis_from_building_no</v>
          </cell>
          <cell r="E150" t="str">
            <v>abap.char(60);</v>
          </cell>
        </row>
        <row r="151">
          <cell r="D151" t="str">
            <v>zde_dis_from_building_name</v>
          </cell>
          <cell r="E151" t="str">
            <v>abap.char(60);</v>
          </cell>
        </row>
        <row r="152">
          <cell r="D152" t="str">
            <v>zde_dis_from_flat_number</v>
          </cell>
          <cell r="E152" t="str">
            <v>abap.char(60);</v>
          </cell>
        </row>
        <row r="153">
          <cell r="D153" t="str">
            <v>zde_dispatch_from_address1</v>
          </cell>
          <cell r="E153" t="str">
            <v>abap.char(100);</v>
          </cell>
        </row>
        <row r="154">
          <cell r="D154" t="str">
            <v>zde_dispatch_from_address2</v>
          </cell>
          <cell r="E154" t="str">
            <v>abap.char(100);</v>
          </cell>
        </row>
        <row r="155">
          <cell r="D155" t="str">
            <v>zde_dispatch_from_city</v>
          </cell>
          <cell r="E155" t="str">
            <v>abap.char(50);</v>
          </cell>
        </row>
        <row r="156">
          <cell r="D156" t="str">
            <v>zde_dis_from_district</v>
          </cell>
          <cell r="E156" t="str">
            <v>abap.char(60);</v>
          </cell>
        </row>
        <row r="157">
          <cell r="D157" t="str">
            <v>zde_dispatch_from_state</v>
          </cell>
          <cell r="E157" t="str">
            <v>abap.char(50);</v>
          </cell>
        </row>
        <row r="158">
          <cell r="D158" t="str">
            <v>zde_dispatch_from_pincode</v>
          </cell>
          <cell r="E158" t="str">
            <v>abap.char(6);</v>
          </cell>
        </row>
        <row r="159">
          <cell r="D159" t="str">
            <v>zde_dis_from_phone</v>
          </cell>
          <cell r="E159" t="str">
            <v>abap.char(10);</v>
          </cell>
        </row>
        <row r="160">
          <cell r="D160" t="str">
            <v>zde_dispatchfromemail</v>
          </cell>
          <cell r="E160" t="str">
            <v>abap.char(50);</v>
          </cell>
        </row>
        <row r="161">
          <cell r="D161" t="str">
            <v>zde_bill_to_gstin</v>
          </cell>
          <cell r="E161" t="str">
            <v>abap.char(15);</v>
          </cell>
        </row>
        <row r="162">
          <cell r="D162" t="str">
            <v>zde_bill_to_leg_name</v>
          </cell>
          <cell r="E162" t="str">
            <v>abap.char(50);</v>
          </cell>
        </row>
        <row r="163">
          <cell r="D163" t="str">
            <v>zde_bill_to_trade_name</v>
          </cell>
          <cell r="E163" t="str">
            <v>abap.char(100);</v>
          </cell>
        </row>
        <row r="164">
          <cell r="D164" t="str">
            <v>zde_bill_to_building_n0</v>
          </cell>
          <cell r="E164" t="str">
            <v>abap.char(60);</v>
          </cell>
        </row>
        <row r="165">
          <cell r="D165" t="str">
            <v>zde_bill_to_building_name</v>
          </cell>
          <cell r="E165" t="str">
            <v>abap.char(100);</v>
          </cell>
        </row>
        <row r="166">
          <cell r="D166" t="str">
            <v>zde_bill_to_billtoflatnumb</v>
          </cell>
          <cell r="E166" t="str">
            <v>abap.char(15);</v>
          </cell>
        </row>
        <row r="167">
          <cell r="D167" t="str">
            <v>zde_bill_to_address1</v>
          </cell>
          <cell r="E167" t="str">
            <v>abap.char(150);</v>
          </cell>
        </row>
        <row r="168">
          <cell r="D168" t="str">
            <v>zde_bill_to_address2</v>
          </cell>
          <cell r="E168" t="str">
            <v>abap.char(150);</v>
          </cell>
        </row>
        <row r="169">
          <cell r="D169" t="str">
            <v>zde_bill_to_city</v>
          </cell>
          <cell r="E169" t="str">
            <v>abap.char(10);</v>
          </cell>
        </row>
        <row r="170">
          <cell r="D170" t="str">
            <v>zde_bill_to_district</v>
          </cell>
          <cell r="E170" t="str">
            <v>abap.char(10);</v>
          </cell>
        </row>
        <row r="171">
          <cell r="D171" t="str">
            <v>zde_bill_to_statecode</v>
          </cell>
          <cell r="E171" t="str">
            <v>abap.char(10);</v>
          </cell>
        </row>
        <row r="172">
          <cell r="D172" t="str">
            <v>zde_bill_to_pincode</v>
          </cell>
          <cell r="E172" t="str">
            <v>abap.char(10);</v>
          </cell>
        </row>
        <row r="173">
          <cell r="D173" t="str">
            <v>zde_bill_to_phone</v>
          </cell>
          <cell r="E173" t="str">
            <v>abap.char(10);</v>
          </cell>
        </row>
        <row r="174">
          <cell r="D174" t="str">
            <v>zde_bill_to_email</v>
          </cell>
          <cell r="E174" t="str">
            <v>abap.char(100);</v>
          </cell>
        </row>
        <row r="175">
          <cell r="D175" t="str">
            <v>zde_ship_to_gstin</v>
          </cell>
          <cell r="E175" t="str">
            <v>abap.char(15);</v>
          </cell>
        </row>
        <row r="176">
          <cell r="D176" t="str">
            <v>zde_ship_to_legal_name</v>
          </cell>
          <cell r="E176" t="str">
            <v>abap.char(100);</v>
          </cell>
        </row>
        <row r="177">
          <cell r="D177" t="str">
            <v>zde_ship_to_trade_name</v>
          </cell>
          <cell r="E177" t="str">
            <v>abap.char(100);</v>
          </cell>
        </row>
        <row r="178">
          <cell r="D178" t="str">
            <v>zde_ship_to_buliding_no</v>
          </cell>
          <cell r="E178" t="str">
            <v>abap.char(10);</v>
          </cell>
        </row>
        <row r="179">
          <cell r="D179" t="str">
            <v>zde_ship_to_buliding_name</v>
          </cell>
          <cell r="E179" t="str">
            <v>abap.char(100);</v>
          </cell>
        </row>
        <row r="180">
          <cell r="D180" t="str">
            <v>zde_ship_to_flat_number</v>
          </cell>
          <cell r="E180" t="str">
            <v>abap.char(10);</v>
          </cell>
        </row>
        <row r="181">
          <cell r="D181" t="str">
            <v>zde_ship_to_address1</v>
          </cell>
          <cell r="E181" t="str">
            <v>abap.char(100);</v>
          </cell>
        </row>
        <row r="182">
          <cell r="D182" t="str">
            <v>zde_ship_to_address2</v>
          </cell>
          <cell r="E182" t="str">
            <v>abap.char(100);</v>
          </cell>
        </row>
        <row r="183">
          <cell r="D183" t="str">
            <v>zde_ship_to_city</v>
          </cell>
          <cell r="E183" t="str">
            <v>abap.char(50);</v>
          </cell>
        </row>
        <row r="184">
          <cell r="D184" t="str">
            <v>zde_ship_to_district</v>
          </cell>
          <cell r="E184" t="str">
            <v>abap.char(60);</v>
          </cell>
        </row>
        <row r="185">
          <cell r="D185" t="str">
            <v>zde_ship_to_state</v>
          </cell>
          <cell r="E185" t="str">
            <v>abap.char(50);</v>
          </cell>
        </row>
        <row r="186">
          <cell r="D186" t="str">
            <v>zde_ship_to_pincode</v>
          </cell>
          <cell r="E186" t="str">
            <v>abap.char(6);</v>
          </cell>
        </row>
        <row r="187">
          <cell r="D187" t="str">
            <v>zde_ship_to_phone</v>
          </cell>
          <cell r="E187" t="str">
            <v>abap.char(10);</v>
          </cell>
        </row>
        <row r="188">
          <cell r="D188" t="str">
            <v>zde_ship_to_email</v>
          </cell>
          <cell r="E188" t="str">
            <v>abap.char(100);</v>
          </cell>
        </row>
        <row r="189">
          <cell r="D189" t="str">
            <v>zde_payment_type</v>
          </cell>
          <cell r="E189" t="str">
            <v>abap.char(2);</v>
          </cell>
        </row>
        <row r="190">
          <cell r="D190" t="str">
            <v>zde_mode_of_payment</v>
          </cell>
          <cell r="E190" t="str">
            <v>abap.char(6);</v>
          </cell>
        </row>
        <row r="191">
          <cell r="D191" t="str">
            <v>zde_payment_amount</v>
          </cell>
          <cell r="E191" t="str">
            <v>abap.char(15);</v>
          </cell>
        </row>
        <row r="192">
          <cell r="D192" t="str">
            <v>zde_advpaid_amount</v>
          </cell>
          <cell r="E192" t="str">
            <v>abap.char(50);</v>
          </cell>
        </row>
        <row r="193">
          <cell r="D193" t="str">
            <v>zde_payment_date</v>
          </cell>
          <cell r="E193" t="str">
            <v>abap.char(10);</v>
          </cell>
        </row>
        <row r="194">
          <cell r="D194" t="str">
            <v>zde_payment_remarks</v>
          </cell>
          <cell r="E194" t="str">
            <v>abap.char(200);</v>
          </cell>
        </row>
        <row r="195">
          <cell r="D195" t="str">
            <v>zde_payment_terms</v>
          </cell>
          <cell r="E195" t="str">
            <v>abap.char(50);</v>
          </cell>
        </row>
        <row r="196">
          <cell r="D196" t="str">
            <v>zde_payment_instruction</v>
          </cell>
          <cell r="E196" t="str">
            <v>abap.char(50);</v>
          </cell>
        </row>
        <row r="197">
          <cell r="D197" t="str">
            <v>zde_payee_name</v>
          </cell>
          <cell r="E197" t="str">
            <v>abap.char(100);</v>
          </cell>
        </row>
        <row r="198">
          <cell r="D198" t="str">
            <v>zde_payee_account_number</v>
          </cell>
          <cell r="E198" t="str">
            <v>abap.char(18);</v>
          </cell>
        </row>
        <row r="199">
          <cell r="D199" t="str">
            <v>zde_amount_due_for_payment</v>
          </cell>
          <cell r="E199" t="str">
            <v>abap.char(18);</v>
          </cell>
        </row>
        <row r="200">
          <cell r="D200" t="str">
            <v>zde_pay_due_date</v>
          </cell>
          <cell r="E200" t="str">
            <v>abap.char(8);</v>
          </cell>
        </row>
        <row r="201">
          <cell r="D201" t="str">
            <v>zde_ifsc</v>
          </cell>
          <cell r="E201" t="str">
            <v>abap.char(11);</v>
          </cell>
        </row>
        <row r="202">
          <cell r="D202" t="str">
            <v>zde_acc_details</v>
          </cell>
          <cell r="E202" t="str">
            <v>abap.char(50);</v>
          </cell>
        </row>
        <row r="203">
          <cell r="D203" t="str">
            <v>zde_acc_credit_transfer</v>
          </cell>
          <cell r="E203" t="str">
            <v>abap.char(50);</v>
          </cell>
        </row>
        <row r="204">
          <cell r="D204" t="str">
            <v>zde_direct_debit</v>
          </cell>
          <cell r="E204" t="str">
            <v>abap.char(50);</v>
          </cell>
        </row>
        <row r="205">
          <cell r="D205" t="str">
            <v>zde_acc_credit_days</v>
          </cell>
          <cell r="E205" t="str">
            <v>abap.char(10);</v>
          </cell>
        </row>
        <row r="206">
          <cell r="D206" t="str">
            <v>zde_credit_availed_date</v>
          </cell>
          <cell r="E206" t="str">
            <v>abap.char(8);</v>
          </cell>
        </row>
        <row r="207">
          <cell r="D207" t="str">
            <v>zde_credit_reversal_date</v>
          </cell>
          <cell r="E207" t="str">
            <v>abap.char(8);</v>
          </cell>
        </row>
        <row r="208">
          <cell r="D208" t="str">
            <v>zde_add_supp_doc</v>
          </cell>
          <cell r="E208" t="str">
            <v>abap.char(50);</v>
          </cell>
        </row>
        <row r="209">
          <cell r="D209" t="str">
            <v>zde_document_remarks</v>
          </cell>
          <cell r="E209" t="str">
            <v>abap.char(100);</v>
          </cell>
        </row>
        <row r="210">
          <cell r="D210" t="str">
            <v>zde_delivery_start_date</v>
          </cell>
          <cell r="E210" t="str">
            <v>abap.char(8);</v>
          </cell>
        </row>
        <row r="211">
          <cell r="D211" t="str">
            <v>zde_delivery_end_date</v>
          </cell>
          <cell r="E211" t="str">
            <v>abap.char(8);</v>
          </cell>
        </row>
        <row r="212">
          <cell r="D212" t="str">
            <v>zde_receipt_advice_referen</v>
          </cell>
          <cell r="E212" t="str">
            <v>abap.char(20);</v>
          </cell>
        </row>
        <row r="213">
          <cell r="D213" t="str">
            <v>zde_tender_lot_reference</v>
          </cell>
          <cell r="E213" t="str">
            <v>abap.char(20);</v>
          </cell>
        </row>
        <row r="214">
          <cell r="D214" t="str">
            <v>zde_contract_reference</v>
          </cell>
          <cell r="E214" t="str">
            <v>abap.char(20);</v>
          </cell>
        </row>
        <row r="215">
          <cell r="D215" t="str">
            <v>zde_ref_pre_doc</v>
          </cell>
          <cell r="E215" t="str">
            <v>abap.char(50);</v>
          </cell>
        </row>
        <row r="216">
          <cell r="D216" t="str">
            <v>zde_ref_doc_details</v>
          </cell>
          <cell r="E216" t="str">
            <v>abap.char(50);</v>
          </cell>
        </row>
        <row r="217">
          <cell r="D217" t="str">
            <v>zde_external_reference</v>
          </cell>
          <cell r="E217" t="str">
            <v>abap.char(20);</v>
          </cell>
        </row>
        <row r="218">
          <cell r="D218" t="str">
            <v>zde_project_reference</v>
          </cell>
          <cell r="E218" t="str">
            <v>abap.char(20);</v>
          </cell>
        </row>
        <row r="219">
          <cell r="D219" t="str">
            <v>zde_po_reference_number</v>
          </cell>
          <cell r="E219" t="str">
            <v>abap.char(20);</v>
          </cell>
        </row>
        <row r="220">
          <cell r="D220" t="str">
            <v>zde_doc_start_date</v>
          </cell>
          <cell r="E220" t="str">
            <v>abap.char(8);</v>
          </cell>
        </row>
        <row r="221">
          <cell r="D221" t="str">
            <v>zde_doc_end_date</v>
          </cell>
          <cell r="E221" t="str">
            <v>abap.char(8);</v>
          </cell>
        </row>
        <row r="222">
          <cell r="D222" t="str">
            <v>zde_bill_number</v>
          </cell>
          <cell r="E222" t="str">
            <v>abap.char(7);</v>
          </cell>
        </row>
        <row r="223">
          <cell r="D223" t="str">
            <v>zde_bill_date</v>
          </cell>
          <cell r="E223" t="str">
            <v>abap.char(8);</v>
          </cell>
        </row>
        <row r="224">
          <cell r="D224" t="str">
            <v>zde_portcode</v>
          </cell>
          <cell r="E224" t="str">
            <v>abap.char(6);</v>
          </cell>
        </row>
        <row r="225">
          <cell r="D225" t="str">
            <v>zde_document_currency_code</v>
          </cell>
          <cell r="E225" t="str">
            <v>abap.char(3);</v>
          </cell>
        </row>
        <row r="226">
          <cell r="D226" t="str">
            <v>zde_doc_cur_value</v>
          </cell>
          <cell r="E226" t="str">
            <v>abap.char(15);</v>
          </cell>
        </row>
        <row r="227">
          <cell r="D227" t="str">
            <v>zde_order_reference</v>
          </cell>
          <cell r="E227" t="str">
            <v>abap.char(15);</v>
          </cell>
        </row>
        <row r="228">
          <cell r="D228" t="str">
            <v>zde_origin_country</v>
          </cell>
          <cell r="E228" t="str">
            <v>abap.char(2);</v>
          </cell>
        </row>
        <row r="229">
          <cell r="D229" t="str">
            <v>zde_dest_country</v>
          </cell>
          <cell r="E229" t="str">
            <v>abap.char(50);</v>
          </cell>
        </row>
        <row r="230">
          <cell r="D230" t="str">
            <v>zde_pos</v>
          </cell>
          <cell r="E230" t="str">
            <v>abap.char(2);</v>
          </cell>
        </row>
        <row r="231">
          <cell r="D231" t="str">
            <v>zde_document_value</v>
          </cell>
          <cell r="E231" t="str">
            <v>abap.char(26);</v>
          </cell>
        </row>
        <row r="232">
          <cell r="D232" t="str">
            <v>zde_document_value_for</v>
          </cell>
          <cell r="E232" t="str">
            <v>abap.char(50);</v>
          </cell>
        </row>
        <row r="233">
          <cell r="D233" t="str">
            <v>zde_document_value_off</v>
          </cell>
          <cell r="E233" t="str">
            <v>abap.char(15);</v>
          </cell>
        </row>
        <row r="234">
          <cell r="D234" t="str">
            <v>zde_differential_percent</v>
          </cell>
          <cell r="E234" t="str">
            <v>abap.char(5);</v>
          </cell>
        </row>
        <row r="235">
          <cell r="D235" t="str">
            <v>zde_reverse_charge</v>
          </cell>
          <cell r="E235" t="str">
            <v>abap.char(1);</v>
          </cell>
        </row>
        <row r="236">
          <cell r="D236" t="str">
            <v>zde_claim_refund</v>
          </cell>
          <cell r="E236" t="str">
            <v>abap.char(1);</v>
          </cell>
        </row>
        <row r="237">
          <cell r="D237" t="str">
            <v>zde_under_igst_act</v>
          </cell>
          <cell r="E237" t="str">
            <v>abap.char(1);</v>
          </cell>
        </row>
        <row r="238">
          <cell r="D238" t="str">
            <v>zde_refund_eligibility</v>
          </cell>
          <cell r="E238" t="str">
            <v>abap.char(1);</v>
          </cell>
        </row>
        <row r="239">
          <cell r="D239" t="str">
            <v>zde_ecommerce_gstin</v>
          </cell>
          <cell r="E239" t="str">
            <v>abap.char(15);</v>
          </cell>
        </row>
        <row r="240">
          <cell r="D240" t="str">
            <v>zde_original_gstin</v>
          </cell>
          <cell r="E240" t="str">
            <v>abap.char(15);</v>
          </cell>
        </row>
        <row r="241">
          <cell r="D241" t="str">
            <v>zde_original_trade_name</v>
          </cell>
          <cell r="E241" t="str">
            <v>abap.char(200);</v>
          </cell>
        </row>
        <row r="242">
          <cell r="D242" t="str">
            <v>zde_original_document_numb</v>
          </cell>
          <cell r="E242" t="str">
            <v>abap.char(16);</v>
          </cell>
        </row>
        <row r="243">
          <cell r="D243" t="str">
            <v>zde_original_document_date</v>
          </cell>
          <cell r="E243" t="str">
            <v>abap.char(8);</v>
          </cell>
        </row>
        <row r="244">
          <cell r="D244" t="str">
            <v>zde_original_portcode</v>
          </cell>
          <cell r="E244" t="str">
            <v>abap.char(6);</v>
          </cell>
        </row>
        <row r="245">
          <cell r="D245" t="str">
            <v>zde_originale_commerce_gst</v>
          </cell>
          <cell r="E245" t="str">
            <v>abap.char(15);</v>
          </cell>
        </row>
        <row r="246">
          <cell r="D246" t="str">
            <v>char50</v>
          </cell>
          <cell r="E246" t="str">
            <v>char50;</v>
          </cell>
        </row>
        <row r="247">
          <cell r="D247" t="str">
            <v>zde_trans_porter_id</v>
          </cell>
          <cell r="E247" t="str">
            <v>abap.char(20);</v>
          </cell>
        </row>
        <row r="248">
          <cell r="D248" t="str">
            <v>zde_transporter_name</v>
          </cell>
          <cell r="E248" t="str">
            <v>abap.char(100);</v>
          </cell>
        </row>
        <row r="249">
          <cell r="D249" t="str">
            <v>zde_transport_date</v>
          </cell>
          <cell r="E249" t="str">
            <v>abap.char(20);</v>
          </cell>
        </row>
        <row r="250">
          <cell r="D250" t="str">
            <v>zde_transport_time</v>
          </cell>
          <cell r="E250" t="str">
            <v>abap.char(6);</v>
          </cell>
        </row>
        <row r="251">
          <cell r="D251" t="str">
            <v>zde_distancelevel</v>
          </cell>
          <cell r="E251" t="str">
            <v>abap.char(4);</v>
          </cell>
        </row>
        <row r="252">
          <cell r="D252" t="str">
            <v>zde_transportmode</v>
          </cell>
          <cell r="E252" t="str">
            <v>abap.char(10);</v>
          </cell>
        </row>
        <row r="253">
          <cell r="D253" t="str">
            <v>zde_transportdocnumentumber</v>
          </cell>
          <cell r="E253" t="str">
            <v>abap.char(20);</v>
          </cell>
        </row>
        <row r="254">
          <cell r="D254" t="str">
            <v>zde_transportdocdate</v>
          </cell>
          <cell r="E254" t="str">
            <v>abap.char(8);</v>
          </cell>
        </row>
        <row r="255">
          <cell r="D255" t="str">
            <v>zde_vehiclenumber</v>
          </cell>
          <cell r="E255" t="str">
            <v>abap.char(20);</v>
          </cell>
        </row>
        <row r="256">
          <cell r="D256" t="str">
            <v>zde_vehicletype</v>
          </cell>
          <cell r="E256" t="str">
            <v>abap.char(1);</v>
          </cell>
        </row>
        <row r="257">
          <cell r="D257" t="str">
            <v>zde_to_email_addresses</v>
          </cell>
          <cell r="E257" t="str">
            <v>abap.char(100);</v>
          </cell>
        </row>
        <row r="258">
          <cell r="D258" t="str">
            <v>zde_to_mobile_numbers</v>
          </cell>
          <cell r="E258" t="str">
            <v>abap.char(10);</v>
          </cell>
        </row>
        <row r="259">
          <cell r="D259" t="str">
            <v>zde_custom1</v>
          </cell>
          <cell r="E259" t="str">
            <v>abap.char(40);</v>
          </cell>
        </row>
        <row r="260">
          <cell r="D260" t="str">
            <v>zde_custom2</v>
          </cell>
          <cell r="E260" t="str">
            <v>abap.char(40);</v>
          </cell>
        </row>
        <row r="261">
          <cell r="D261" t="str">
            <v>zde_custom3</v>
          </cell>
          <cell r="E261" t="str">
            <v>abap.char(40);</v>
          </cell>
        </row>
        <row r="262">
          <cell r="D262" t="str">
            <v>zde_custom4</v>
          </cell>
          <cell r="E262" t="str">
            <v>abap.char(40);</v>
          </cell>
        </row>
        <row r="263">
          <cell r="D263" t="str">
            <v>zde_custom5</v>
          </cell>
          <cell r="E263" t="str">
            <v>abap.char(40);</v>
          </cell>
        </row>
        <row r="264">
          <cell r="D264" t="str">
            <v>zde_custom6</v>
          </cell>
          <cell r="E264" t="str">
            <v>abap.char(40);</v>
          </cell>
        </row>
        <row r="265">
          <cell r="D265" t="str">
            <v>zde_custom7</v>
          </cell>
          <cell r="E265" t="str">
            <v>abap.char(40);</v>
          </cell>
        </row>
        <row r="266">
          <cell r="D266" t="str">
            <v>zde_custom8</v>
          </cell>
          <cell r="E266" t="str">
            <v>abap.char(40);</v>
          </cell>
        </row>
        <row r="267">
          <cell r="D267" t="str">
            <v>zde_custom9</v>
          </cell>
          <cell r="E267" t="str">
            <v>abap.char(40);</v>
          </cell>
        </row>
        <row r="268">
          <cell r="D268" t="str">
            <v>zde_custom10</v>
          </cell>
          <cell r="E268" t="str">
            <v>abap.char(40);</v>
          </cell>
        </row>
        <row r="269">
          <cell r="D269" t="str">
            <v>zde_serial_no1</v>
          </cell>
          <cell r="E269" t="str">
            <v>abap.char(15);</v>
          </cell>
        </row>
        <row r="270">
          <cell r="D270" t="str">
            <v>zde_isservice</v>
          </cell>
          <cell r="E270" t="str">
            <v>abap.char(15);</v>
          </cell>
        </row>
        <row r="271">
          <cell r="D271" t="str">
            <v>zde_hsn</v>
          </cell>
          <cell r="E271" t="str">
            <v>abap.char(16);</v>
          </cell>
        </row>
        <row r="272">
          <cell r="D272" t="str">
            <v>zde_itemname</v>
          </cell>
          <cell r="E272" t="str">
            <v>abap.char(100);</v>
          </cell>
        </row>
        <row r="273">
          <cell r="D273" t="str">
            <v>zde_item_description</v>
          </cell>
          <cell r="E273" t="str">
            <v>abap.char(200);</v>
          </cell>
        </row>
        <row r="274">
          <cell r="D274" t="str">
            <v>zde_barcode</v>
          </cell>
          <cell r="E274" t="str">
            <v>abap.char(100);</v>
          </cell>
        </row>
        <row r="275">
          <cell r="D275" t="str">
            <v>zde_barcode2</v>
          </cell>
          <cell r="E275" t="str">
            <v>abap.char(100);</v>
          </cell>
        </row>
        <row r="276">
          <cell r="D276" t="str">
            <v>zde_barcode3</v>
          </cell>
          <cell r="E276" t="str">
            <v>abap.char(200);</v>
          </cell>
        </row>
        <row r="277">
          <cell r="D277" t="str">
            <v>zde_barcode4</v>
          </cell>
          <cell r="E277" t="str">
            <v>abap.char(200);</v>
          </cell>
        </row>
        <row r="278">
          <cell r="D278" t="str">
            <v>zde_uqc</v>
          </cell>
          <cell r="E278" t="str">
            <v>abap.char(3);</v>
          </cell>
        </row>
        <row r="279">
          <cell r="D279" t="str">
            <v>abap.string(0)</v>
          </cell>
          <cell r="E279" t="str">
            <v>abap.string(0);</v>
          </cell>
        </row>
        <row r="280">
          <cell r="D280" t="str">
            <v/>
          </cell>
          <cell r="E280" t="str">
            <v>'vbrp.meins'</v>
          </cell>
        </row>
        <row r="281">
          <cell r="D281" t="str">
            <v>menge_d</v>
          </cell>
          <cell r="E281" t="str">
            <v>menge_d;</v>
          </cell>
        </row>
        <row r="282">
          <cell r="D282" t="str">
            <v>zde_rate11</v>
          </cell>
          <cell r="E282" t="str">
            <v>abap.char(18);</v>
          </cell>
        </row>
        <row r="283">
          <cell r="D283" t="str">
            <v>zde_cess_rate</v>
          </cell>
          <cell r="E283" t="str">
            <v>abap.char(20);</v>
          </cell>
        </row>
        <row r="284">
          <cell r="D284" t="str">
            <v>zde_cess_state_cess_rate</v>
          </cell>
          <cell r="E284" t="str">
            <v>abap.char(20);</v>
          </cell>
        </row>
        <row r="285">
          <cell r="D285" t="str">
            <v>zde_cess_non_advalorem_rat</v>
          </cell>
          <cell r="E285" t="str">
            <v>abap.char(20);</v>
          </cell>
        </row>
        <row r="286">
          <cell r="D286" t="str">
            <v>zde_price_per_quantity</v>
          </cell>
          <cell r="E286" t="str">
            <v>abap.char(20);</v>
          </cell>
        </row>
        <row r="287">
          <cell r="D287" t="str">
            <v>zde_discount_amount</v>
          </cell>
          <cell r="E287" t="str">
            <v>abap.char(20);</v>
          </cell>
        </row>
        <row r="288">
          <cell r="D288" t="str">
            <v>zde_gross_amount</v>
          </cell>
          <cell r="E288" t="str">
            <v>abap.char(20);</v>
          </cell>
        </row>
        <row r="289">
          <cell r="D289" t="str">
            <v>zde_other_charges</v>
          </cell>
          <cell r="E289" t="str">
            <v>abap.char(20);</v>
          </cell>
        </row>
        <row r="290">
          <cell r="D290" t="str">
            <v>zde_taxable_value</v>
          </cell>
          <cell r="E290" t="str">
            <v>abap.char(20);</v>
          </cell>
        </row>
        <row r="291">
          <cell r="D291" t="str">
            <v>zde_assessable_value</v>
          </cell>
          <cell r="E291" t="str">
            <v>abap.char(15);</v>
          </cell>
        </row>
        <row r="292">
          <cell r="D292" t="str">
            <v>zde_pretax_value</v>
          </cell>
          <cell r="E292" t="str">
            <v>abap.char(20);</v>
          </cell>
        </row>
        <row r="293">
          <cell r="D293" t="str">
            <v>zde_igst_amount</v>
          </cell>
          <cell r="E293" t="str">
            <v>abap.char(20);</v>
          </cell>
        </row>
        <row r="294">
          <cell r="D294" t="str">
            <v>zde_cgst_amount</v>
          </cell>
          <cell r="E294" t="str">
            <v>abap.char(20);</v>
          </cell>
        </row>
        <row r="295">
          <cell r="D295" t="str">
            <v>zde_sgst_amount</v>
          </cell>
          <cell r="E295" t="str">
            <v>abap.char(20);</v>
          </cell>
        </row>
        <row r="296">
          <cell r="D296" t="str">
            <v>zde_cess_amount</v>
          </cell>
          <cell r="E296" t="str">
            <v>abap.char(20);</v>
          </cell>
        </row>
        <row r="297">
          <cell r="D297" t="str">
            <v>zde_state_cess_amount</v>
          </cell>
          <cell r="E297" t="str">
            <v>abap.char(20);</v>
          </cell>
        </row>
        <row r="298">
          <cell r="D298" t="str">
            <v>zde_cess_non_advalorem_amo</v>
          </cell>
          <cell r="E298" t="str">
            <v>abap.char(20);</v>
          </cell>
        </row>
        <row r="299">
          <cell r="D299" t="str">
            <v>zde_state_cess_nadvalo_amt</v>
          </cell>
          <cell r="E299" t="str">
            <v>abap.char(20);</v>
          </cell>
        </row>
        <row r="300">
          <cell r="D300" t="str">
            <v>zde_tem_serial_no</v>
          </cell>
          <cell r="E300" t="str">
            <v>abap.char(15);</v>
          </cell>
        </row>
        <row r="301">
          <cell r="D301" t="str">
            <v>zde_item_total</v>
          </cell>
          <cell r="E301" t="str">
            <v>abap.char(15);</v>
          </cell>
        </row>
        <row r="302">
          <cell r="D302" t="str">
            <v>zde_item_attri</v>
          </cell>
          <cell r="E302" t="str">
            <v>abap.char(20);</v>
          </cell>
        </row>
        <row r="303">
          <cell r="D303" t="str">
            <v>zde_tax_type</v>
          </cell>
          <cell r="E303" t="str">
            <v>abap.char(4);</v>
          </cell>
        </row>
        <row r="304">
          <cell r="D304" t="str">
            <v>zde_batch_name_number</v>
          </cell>
          <cell r="E304" t="str">
            <v>abap.char(20);</v>
          </cell>
        </row>
        <row r="305">
          <cell r="D305" t="str">
            <v>zde_batch_expiry_date</v>
          </cell>
          <cell r="E305" t="str">
            <v>abap.char(10);</v>
          </cell>
        </row>
        <row r="306">
          <cell r="D306" t="str">
            <v>zde_warranty_date</v>
          </cell>
          <cell r="E306" t="str">
            <v>abap.char(10);</v>
          </cell>
        </row>
        <row r="307">
          <cell r="D307" t="str">
            <v>zde_itc_eligibility</v>
          </cell>
          <cell r="E307" t="str">
            <v>abap.char(2);</v>
          </cell>
        </row>
        <row r="308">
          <cell r="D308" t="str">
            <v>zde_itc_igst_amount</v>
          </cell>
          <cell r="E308" t="str">
            <v>abap.char(20);</v>
          </cell>
        </row>
        <row r="309">
          <cell r="D309" t="str">
            <v>zde_itc_cgst_amount</v>
          </cell>
          <cell r="E309" t="str">
            <v>abap.char(20);</v>
          </cell>
        </row>
        <row r="310">
          <cell r="D310" t="str">
            <v>zde_itc_sgst_amount</v>
          </cell>
          <cell r="E310" t="str">
            <v>abap.char(20);</v>
          </cell>
        </row>
        <row r="311">
          <cell r="D311" t="str">
            <v>zde_itc_cess_amount</v>
          </cell>
          <cell r="E311" t="str">
            <v>abap.char(20);</v>
          </cell>
        </row>
        <row r="312">
          <cell r="D312" t="str">
            <v>zde_custom_item1</v>
          </cell>
          <cell r="E312" t="str">
            <v>abap.char(40);</v>
          </cell>
        </row>
        <row r="313">
          <cell r="D313" t="str">
            <v>zde_custom_item2</v>
          </cell>
          <cell r="E313" t="str">
            <v>abap.char(40);</v>
          </cell>
        </row>
        <row r="314">
          <cell r="D314" t="str">
            <v>zde_custom_item3</v>
          </cell>
          <cell r="E314" t="str">
            <v>abap.char(40);</v>
          </cell>
        </row>
        <row r="315">
          <cell r="D315" t="str">
            <v>zde_custom_item4</v>
          </cell>
          <cell r="E315" t="str">
            <v>abap.char(40);</v>
          </cell>
        </row>
        <row r="316">
          <cell r="D316" t="str">
            <v>zde_custom_item5</v>
          </cell>
          <cell r="E316" t="str">
            <v>abap.char(40);</v>
          </cell>
        </row>
        <row r="317">
          <cell r="D317" t="str">
            <v>zde_custom_item6</v>
          </cell>
          <cell r="E317" t="str">
            <v>abap.char(40);</v>
          </cell>
        </row>
        <row r="318">
          <cell r="D318" t="str">
            <v>zde_custom_item7</v>
          </cell>
          <cell r="E318" t="str">
            <v>abap.char(40);</v>
          </cell>
        </row>
        <row r="319">
          <cell r="D319" t="str">
            <v>zde_custom_item8</v>
          </cell>
          <cell r="E319" t="str">
            <v>abap.char(40);</v>
          </cell>
        </row>
        <row r="320">
          <cell r="D320" t="str">
            <v>zde_custom_item9</v>
          </cell>
          <cell r="E320" t="str">
            <v>abap.char(40);</v>
          </cell>
        </row>
        <row r="321">
          <cell r="D321" t="str">
            <v/>
          </cell>
          <cell r="E321" t="str">
            <v>'CUSTOM ITEM10'</v>
          </cell>
        </row>
        <row r="322">
          <cell r="D322" t="str">
            <v>abap.char(200)</v>
          </cell>
          <cell r="E322" t="str">
            <v>abap.char(200);</v>
          </cell>
        </row>
        <row r="323">
          <cell r="D323" t="str">
            <v>zde_invoice_no</v>
          </cell>
          <cell r="E323" t="str">
            <v>abap.char(32);</v>
          </cell>
        </row>
        <row r="324">
          <cell r="D324" t="str">
            <v>abap.string(0)</v>
          </cell>
          <cell r="E324" t="str">
            <v>abap.string(0);</v>
          </cell>
        </row>
        <row r="325">
          <cell r="D325" t="str">
            <v>zde_invoice_date</v>
          </cell>
          <cell r="E325" t="str">
            <v>abap.char(10);</v>
          </cell>
        </row>
        <row r="326">
          <cell r="D326" t="str">
            <v>zde_acknumber</v>
          </cell>
          <cell r="E326" t="str">
            <v>abap.char(15);</v>
          </cell>
        </row>
        <row r="327">
          <cell r="D327" t="str">
            <v>zde_ackdate</v>
          </cell>
          <cell r="E327" t="str">
            <v>abap.char(10);</v>
          </cell>
        </row>
        <row r="328">
          <cell r="D328" t="str">
            <v>zde_assessable_success</v>
          </cell>
          <cell r="E328" t="str">
            <v>abap.char(1);</v>
          </cell>
        </row>
        <row r="329">
          <cell r="D329" t="str">
            <v>zde_assessable_fail</v>
          </cell>
          <cell r="E329" t="str">
            <v>abap.char(1);</v>
          </cell>
        </row>
        <row r="330">
          <cell r="D330" t="str">
            <v>zde_assessable_pending</v>
          </cell>
          <cell r="E330" t="str">
            <v>abap.char(1);</v>
          </cell>
        </row>
        <row r="331">
          <cell r="D331" t="str">
            <v>zde_assessable_reprocess</v>
          </cell>
          <cell r="E331" t="str">
            <v>abap.char(1);</v>
          </cell>
        </row>
        <row r="332">
          <cell r="D332" t="str">
            <v>zde_error_des</v>
          </cell>
          <cell r="E332" t="str">
            <v>abap.char(200);</v>
          </cell>
        </row>
        <row r="333">
          <cell r="D333" t="str">
            <v>zde_referenceid</v>
          </cell>
          <cell r="E333" t="str">
            <v>abap.char(50);</v>
          </cell>
        </row>
        <row r="334">
          <cell r="D334" t="str">
            <v>zde_file_name1</v>
          </cell>
          <cell r="E334" t="str">
            <v>abap.char(200);</v>
          </cell>
        </row>
        <row r="335">
          <cell r="D335" t="str">
            <v>zde_send_date</v>
          </cell>
          <cell r="E335" t="str">
            <v>abap.char(8);</v>
          </cell>
        </row>
        <row r="336">
          <cell r="D336" t="str">
            <v>zde_return_date</v>
          </cell>
          <cell r="E336" t="str">
            <v>abap.char(8);</v>
          </cell>
        </row>
        <row r="337">
          <cell r="D337" t="str">
            <v>zde_return_time</v>
          </cell>
          <cell r="E337" t="str">
            <v>abap.char(6);</v>
          </cell>
        </row>
        <row r="338">
          <cell r="D338" t="str">
            <v>zde_gjahr</v>
          </cell>
          <cell r="E338" t="str">
            <v>abap.char(4);</v>
          </cell>
        </row>
        <row r="339">
          <cell r="D339" t="str">
            <v>abap.int4</v>
          </cell>
          <cell r="E339" t="str">
            <v>abap.int4;</v>
          </cell>
        </row>
        <row r="340">
          <cell r="D340" t="str">
            <v>abap.int4</v>
          </cell>
          <cell r="E340" t="str">
            <v>abap.int4;</v>
          </cell>
        </row>
        <row r="341">
          <cell r="D341" t="str">
            <v>abap.string(0)</v>
          </cell>
          <cell r="E341" t="str">
            <v>abap.string(0);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8B35-2853-4C2C-AACE-BB2AA5ADEB45}">
  <dimension ref="B1:T146"/>
  <sheetViews>
    <sheetView topLeftCell="E1" workbookViewId="0">
      <pane ySplit="7" topLeftCell="A8" activePane="bottomLeft" state="frozen"/>
      <selection pane="bottomLeft" activeCell="E52" sqref="E52"/>
    </sheetView>
  </sheetViews>
  <sheetFormatPr defaultRowHeight="15" x14ac:dyDescent="0.25"/>
  <cols>
    <col min="2" max="2" width="56.28515625" customWidth="1"/>
    <col min="5" max="5" width="56.28515625" customWidth="1"/>
    <col min="6" max="6" width="14.5703125" customWidth="1"/>
    <col min="8" max="8" width="56.28515625" customWidth="1"/>
    <col min="12" max="12" width="9.42578125" bestFit="1" customWidth="1"/>
    <col min="13" max="13" width="16.140625" bestFit="1" customWidth="1"/>
    <col min="15" max="15" width="39" bestFit="1" customWidth="1"/>
  </cols>
  <sheetData>
    <row r="1" spans="2:11" x14ac:dyDescent="0.25">
      <c r="E1" t="s">
        <v>223</v>
      </c>
    </row>
    <row r="2" spans="2:11" x14ac:dyDescent="0.25">
      <c r="B2" s="1" t="s">
        <v>15</v>
      </c>
    </row>
    <row r="3" spans="2:11" x14ac:dyDescent="0.25">
      <c r="B3" s="1" t="s">
        <v>7</v>
      </c>
    </row>
    <row r="4" spans="2:11" x14ac:dyDescent="0.25">
      <c r="B4" s="1" t="s">
        <v>16</v>
      </c>
    </row>
    <row r="5" spans="2:11" x14ac:dyDescent="0.25">
      <c r="B5" s="1" t="s">
        <v>17</v>
      </c>
      <c r="E5" s="1" t="s">
        <v>111</v>
      </c>
      <c r="F5" s="1"/>
      <c r="G5" t="s">
        <v>198</v>
      </c>
      <c r="H5" s="1" t="s">
        <v>120</v>
      </c>
      <c r="I5" t="s">
        <v>198</v>
      </c>
    </row>
    <row r="6" spans="2:11" x14ac:dyDescent="0.25">
      <c r="B6" s="1" t="s">
        <v>18</v>
      </c>
      <c r="E6" s="1" t="s">
        <v>7</v>
      </c>
      <c r="F6" s="1"/>
      <c r="H6" s="1" t="s">
        <v>7</v>
      </c>
    </row>
    <row r="7" spans="2:11" x14ac:dyDescent="0.25">
      <c r="B7" s="3" t="s">
        <v>19</v>
      </c>
      <c r="E7" s="3" t="s">
        <v>112</v>
      </c>
      <c r="F7" s="3"/>
      <c r="H7" s="3" t="s">
        <v>121</v>
      </c>
    </row>
    <row r="8" spans="2:11" x14ac:dyDescent="0.25">
      <c r="B8" s="1" t="s">
        <v>0</v>
      </c>
      <c r="E8" s="1" t="s">
        <v>0</v>
      </c>
      <c r="F8" s="1"/>
      <c r="H8" s="2"/>
      <c r="K8" t="s">
        <v>198</v>
      </c>
    </row>
    <row r="9" spans="2:11" x14ac:dyDescent="0.25">
      <c r="B9" s="1" t="s">
        <v>20</v>
      </c>
      <c r="D9" t="str">
        <f>IF(ISNUMBER(SEARCH("@",IFERROR(TRIM(SUBSTITUTE(MID(B9,1,FIND(":",B9)-1),"key","")),""))),"",IFERROR(TRIM(SUBSTITUTE(MID(B9,1,FIND(":",B9)-1),"key","")),""))</f>
        <v>mandt</v>
      </c>
      <c r="E9" s="1" t="s">
        <v>26</v>
      </c>
      <c r="F9" s="1"/>
      <c r="G9" t="str">
        <f>IF(ISNUMBER(SEARCH("@",IFERROR(TRIM(SUBSTITUTE(MID(E9,1,FIND(":",E9)-1),"key","")),""))),"",IFERROR(TRIM(SUBSTITUTE(MID(E9,1,FIND(":",E9)-1),"key","")),""))</f>
        <v>procstat</v>
      </c>
      <c r="H9" s="1" t="s">
        <v>113</v>
      </c>
      <c r="J9" t="str">
        <f>IF(ISNUMBER(SEARCH("@",IFERROR(TRIM(SUBSTITUTE(MID(H9,1,FIND(":",H9)-1),"key","")),""))),"",IFERROR(TRIM(SUBSTITUTE(MID(H9,1,FIND(":",H9)-1),"key","")),""))</f>
        <v/>
      </c>
      <c r="K9" t="s">
        <v>198</v>
      </c>
    </row>
    <row r="10" spans="2:11" x14ac:dyDescent="0.25">
      <c r="B10" s="1" t="s">
        <v>21</v>
      </c>
      <c r="C10" t="s">
        <v>206</v>
      </c>
      <c r="D10" t="str">
        <f t="shared" ref="D10:D22" si="0">IF(ISNUMBER(SEARCH("@",IFERROR(TRIM(SUBSTITUTE(MID(B10,1,FIND(":",B10)-1),"key","")),""))),"",IFERROR(TRIM(SUBSTITUTE(MID(B10,1,FIND(":",B10)-1),"key","")),""))</f>
        <v>custom1</v>
      </c>
      <c r="E10" s="1" t="s">
        <v>27</v>
      </c>
      <c r="F10" s="1"/>
      <c r="G10" t="str">
        <f t="shared" ref="G10:G73" si="1">IF(ISNUMBER(SEARCH("@",IFERROR(TRIM(SUBSTITUTE(MID(E10,1,FIND(":",E10)-1),"key","")),""))),"",IFERROR(TRIM(SUBSTITUTE(MID(E10,1,FIND(":",E10)-1),"key","")),""))</f>
        <v>cbox</v>
      </c>
      <c r="H10" s="1" t="s">
        <v>122</v>
      </c>
      <c r="J10" t="str">
        <f t="shared" ref="J10:J73" si="2">IF(ISNUMBER(SEARCH("@",IFERROR(TRIM(SUBSTITUTE(MID(H10,1,FIND(":",H10)-1),"key","")),""))),"",IFERROR(TRIM(SUBSTITUTE(MID(H10,1,FIND(":",H10)-1),"key","")),""))</f>
        <v>fi_doc_value</v>
      </c>
      <c r="K10" t="s">
        <v>198</v>
      </c>
    </row>
    <row r="11" spans="2:11" x14ac:dyDescent="0.25">
      <c r="B11" s="1" t="s">
        <v>22</v>
      </c>
      <c r="C11" t="s">
        <v>206</v>
      </c>
      <c r="D11" t="str">
        <f t="shared" si="0"/>
        <v>custom4</v>
      </c>
      <c r="E11" s="1" t="s">
        <v>28</v>
      </c>
      <c r="F11" s="1"/>
      <c r="G11" t="str">
        <f t="shared" si="1"/>
        <v>reco_stat</v>
      </c>
      <c r="H11" s="2"/>
      <c r="J11" t="str">
        <f t="shared" si="2"/>
        <v/>
      </c>
      <c r="K11" t="s">
        <v>198</v>
      </c>
    </row>
    <row r="12" spans="2:11" x14ac:dyDescent="0.25">
      <c r="B12" s="1" t="s">
        <v>23</v>
      </c>
      <c r="C12" t="s">
        <v>206</v>
      </c>
      <c r="D12" t="str">
        <f t="shared" si="0"/>
        <v>custom9</v>
      </c>
      <c r="E12" s="2"/>
      <c r="F12" s="2"/>
      <c r="G12" t="str">
        <f t="shared" si="1"/>
        <v/>
      </c>
      <c r="H12" s="1" t="s">
        <v>113</v>
      </c>
      <c r="J12" t="str">
        <f t="shared" si="2"/>
        <v/>
      </c>
      <c r="K12" t="s">
        <v>198</v>
      </c>
    </row>
    <row r="13" spans="2:11" x14ac:dyDescent="0.25">
      <c r="B13" s="2"/>
      <c r="D13" t="str">
        <f t="shared" si="0"/>
        <v/>
      </c>
      <c r="E13" s="1" t="s">
        <v>29</v>
      </c>
      <c r="F13" s="1" t="s">
        <v>475</v>
      </c>
      <c r="G13" t="str">
        <f t="shared" si="1"/>
        <v>financialyear</v>
      </c>
      <c r="H13" s="1" t="s">
        <v>123</v>
      </c>
      <c r="J13" t="str">
        <f t="shared" si="2"/>
        <v>fi_tax_value</v>
      </c>
      <c r="K13" t="s">
        <v>198</v>
      </c>
    </row>
    <row r="14" spans="2:11" x14ac:dyDescent="0.25">
      <c r="B14" s="1" t="s">
        <v>1</v>
      </c>
      <c r="C14" t="s">
        <v>207</v>
      </c>
      <c r="D14" t="str">
        <f t="shared" si="0"/>
        <v>returnperiod</v>
      </c>
      <c r="E14" s="1" t="s">
        <v>30</v>
      </c>
      <c r="F14" s="1" t="s">
        <v>475</v>
      </c>
      <c r="G14" t="str">
        <f t="shared" si="1"/>
        <v>returnperiod</v>
      </c>
      <c r="H14" s="2"/>
      <c r="J14" t="str">
        <f t="shared" si="2"/>
        <v/>
      </c>
      <c r="K14" t="s">
        <v>198</v>
      </c>
    </row>
    <row r="15" spans="2:11" x14ac:dyDescent="0.25">
      <c r="B15" s="1" t="s">
        <v>2</v>
      </c>
      <c r="C15" t="s">
        <v>208</v>
      </c>
      <c r="D15" t="str">
        <f t="shared" si="0"/>
        <v>locationgstin</v>
      </c>
      <c r="E15" s="1" t="s">
        <v>31</v>
      </c>
      <c r="F15" s="1" t="s">
        <v>476</v>
      </c>
      <c r="G15" t="str">
        <f t="shared" si="1"/>
        <v>locationgstin</v>
      </c>
      <c r="H15" s="1" t="s">
        <v>124</v>
      </c>
      <c r="J15" t="str">
        <f t="shared" si="2"/>
        <v>fi_tax_code</v>
      </c>
      <c r="K15" t="s">
        <v>198</v>
      </c>
    </row>
    <row r="16" spans="2:11" x14ac:dyDescent="0.25">
      <c r="B16" s="1" t="s">
        <v>3</v>
      </c>
      <c r="C16" t="s">
        <v>209</v>
      </c>
      <c r="D16" t="str">
        <f t="shared" si="0"/>
        <v>documentnumber</v>
      </c>
      <c r="E16" s="1" t="s">
        <v>32</v>
      </c>
      <c r="F16" s="1" t="s">
        <v>477</v>
      </c>
      <c r="G16" t="str">
        <f t="shared" si="1"/>
        <v>documentnumber</v>
      </c>
      <c r="H16" s="2"/>
      <c r="J16" t="str">
        <f t="shared" si="2"/>
        <v/>
      </c>
      <c r="K16" t="s">
        <v>198</v>
      </c>
    </row>
    <row r="17" spans="2:20" x14ac:dyDescent="0.25">
      <c r="B17" s="1" t="s">
        <v>4</v>
      </c>
      <c r="C17" t="s">
        <v>210</v>
      </c>
      <c r="D17" t="str">
        <f t="shared" si="0"/>
        <v>documentdate</v>
      </c>
      <c r="E17" s="1" t="s">
        <v>33</v>
      </c>
      <c r="F17" s="1"/>
      <c r="G17" t="str">
        <f t="shared" si="1"/>
        <v>documentdate</v>
      </c>
      <c r="H17" s="1" t="s">
        <v>113</v>
      </c>
      <c r="J17" t="str">
        <f t="shared" si="2"/>
        <v/>
      </c>
      <c r="K17" t="s">
        <v>198</v>
      </c>
    </row>
    <row r="18" spans="2:20" x14ac:dyDescent="0.25">
      <c r="B18" s="1" t="s">
        <v>5</v>
      </c>
      <c r="C18" t="s">
        <v>207</v>
      </c>
      <c r="D18" t="str">
        <f t="shared" si="0"/>
        <v>financialyear</v>
      </c>
      <c r="E18" s="1" t="s">
        <v>34</v>
      </c>
      <c r="F18" s="1" t="s">
        <v>478</v>
      </c>
      <c r="G18" t="str">
        <f t="shared" si="1"/>
        <v>custom1</v>
      </c>
      <c r="H18" s="1" t="s">
        <v>125</v>
      </c>
      <c r="J18" t="str">
        <f t="shared" si="2"/>
        <v>fi_tax_rate</v>
      </c>
      <c r="K18" t="s">
        <v>198</v>
      </c>
    </row>
    <row r="19" spans="2:20" x14ac:dyDescent="0.25">
      <c r="B19" s="1" t="s">
        <v>24</v>
      </c>
      <c r="D19" t="str">
        <f t="shared" si="0"/>
        <v>currency</v>
      </c>
      <c r="E19" s="1" t="s">
        <v>35</v>
      </c>
      <c r="F19" s="1" t="s">
        <v>478</v>
      </c>
      <c r="G19" t="str">
        <f t="shared" si="1"/>
        <v>custom4</v>
      </c>
      <c r="H19" s="2"/>
      <c r="J19" t="str">
        <f t="shared" si="2"/>
        <v/>
      </c>
      <c r="K19" t="s">
        <v>198</v>
      </c>
    </row>
    <row r="20" spans="2:20" x14ac:dyDescent="0.25">
      <c r="B20" s="2"/>
      <c r="D20" t="str">
        <f t="shared" si="0"/>
        <v/>
      </c>
      <c r="E20" s="1" t="s">
        <v>36</v>
      </c>
      <c r="F20" s="1" t="s">
        <v>478</v>
      </c>
      <c r="G20" t="str">
        <f t="shared" si="1"/>
        <v>custom9</v>
      </c>
      <c r="H20" s="1" t="s">
        <v>126</v>
      </c>
      <c r="I20" t="s">
        <v>211</v>
      </c>
      <c r="J20" t="str">
        <f t="shared" si="2"/>
        <v>status</v>
      </c>
      <c r="K20" t="s">
        <v>198</v>
      </c>
      <c r="L20" t="str">
        <f t="shared" ref="L20" si="3">SUBSTITUTE(TRIM(RIGHT(SUBSTITUTE(TRIM(H20),"_",REPT(" ",100)),100)),";","")</f>
        <v>status</v>
      </c>
      <c r="M20" t="str">
        <f t="shared" ref="M20" si="4">INDEX($T$32:$T$47,MATCH(L20,$S$32:$S$47,0))</f>
        <v>abap.char(1);</v>
      </c>
    </row>
    <row r="21" spans="2:20" x14ac:dyDescent="0.25">
      <c r="B21" s="1" t="s">
        <v>25</v>
      </c>
      <c r="D21" t="str">
        <f t="shared" si="0"/>
        <v/>
      </c>
      <c r="E21" s="1" t="s">
        <v>113</v>
      </c>
      <c r="F21" s="1"/>
      <c r="G21" t="str">
        <f t="shared" si="1"/>
        <v/>
      </c>
      <c r="H21" s="1" t="s">
        <v>127</v>
      </c>
      <c r="J21" t="str">
        <f t="shared" si="2"/>
        <v>gst_part</v>
      </c>
      <c r="K21" t="s">
        <v>198</v>
      </c>
    </row>
    <row r="22" spans="2:20" x14ac:dyDescent="0.25">
      <c r="B22" s="1" t="s">
        <v>6</v>
      </c>
      <c r="D22" t="str">
        <f t="shared" si="0"/>
        <v/>
      </c>
      <c r="E22" s="1" t="s">
        <v>37</v>
      </c>
      <c r="F22" s="1" t="s">
        <v>479</v>
      </c>
      <c r="G22" t="str">
        <f t="shared" si="1"/>
        <v>documentvalue</v>
      </c>
      <c r="H22" s="1" t="s">
        <v>128</v>
      </c>
      <c r="J22" t="str">
        <f t="shared" si="2"/>
        <v>vendor</v>
      </c>
      <c r="K22" t="s">
        <v>198</v>
      </c>
    </row>
    <row r="23" spans="2:20" x14ac:dyDescent="0.25">
      <c r="E23" s="1" t="s">
        <v>38</v>
      </c>
      <c r="F23" s="1" t="s">
        <v>480</v>
      </c>
      <c r="G23" t="str">
        <f t="shared" si="1"/>
        <v>pushstatus</v>
      </c>
      <c r="H23" s="1" t="s">
        <v>129</v>
      </c>
      <c r="J23" t="str">
        <f t="shared" si="2"/>
        <v>mindk</v>
      </c>
      <c r="K23" t="s">
        <v>198</v>
      </c>
    </row>
    <row r="24" spans="2:20" x14ac:dyDescent="0.25">
      <c r="E24" s="1" t="s">
        <v>39</v>
      </c>
      <c r="F24" s="1" t="s">
        <v>478</v>
      </c>
      <c r="G24" t="str">
        <f t="shared" si="1"/>
        <v>pushdate</v>
      </c>
      <c r="H24" s="1" t="s">
        <v>130</v>
      </c>
      <c r="I24" t="s">
        <v>211</v>
      </c>
      <c r="J24" t="str">
        <f t="shared" si="2"/>
        <v>vendor_block_type</v>
      </c>
      <c r="K24" t="s">
        <v>198</v>
      </c>
      <c r="L24" t="str">
        <f t="shared" ref="L24" si="5">SUBSTITUTE(TRIM(RIGHT(SUBSTITUTE(TRIM(H24),"_",REPT(" ",100)),100)),";","")</f>
        <v>type</v>
      </c>
      <c r="M24" t="str">
        <f t="shared" ref="M24" si="6">INDEX($T$32:$T$47,MATCH(L24,$S$32:$S$47,0))</f>
        <v>abap.char(1);</v>
      </c>
    </row>
    <row r="25" spans="2:20" x14ac:dyDescent="0.25">
      <c r="E25" s="1" t="s">
        <v>40</v>
      </c>
      <c r="F25" s="1" t="s">
        <v>478</v>
      </c>
      <c r="G25" t="str">
        <f t="shared" si="1"/>
        <v>reconciliationsection</v>
      </c>
      <c r="H25" s="1" t="s">
        <v>131</v>
      </c>
      <c r="J25" t="str">
        <f t="shared" si="2"/>
        <v>payment_due_date</v>
      </c>
      <c r="K25" t="s">
        <v>198</v>
      </c>
    </row>
    <row r="26" spans="2:20" x14ac:dyDescent="0.25">
      <c r="E26" s="1" t="s">
        <v>41</v>
      </c>
      <c r="F26" s="1" t="s">
        <v>481</v>
      </c>
      <c r="G26" t="str">
        <f t="shared" si="1"/>
        <v>reason</v>
      </c>
      <c r="H26" s="1" t="s">
        <v>132</v>
      </c>
      <c r="J26" t="str">
        <f t="shared" si="2"/>
        <v>clearing_no</v>
      </c>
      <c r="K26" t="s">
        <v>198</v>
      </c>
    </row>
    <row r="27" spans="2:20" x14ac:dyDescent="0.25">
      <c r="E27" s="1" t="s">
        <v>42</v>
      </c>
      <c r="F27" s="1" t="s">
        <v>478</v>
      </c>
      <c r="G27" t="str">
        <f t="shared" si="1"/>
        <v>filingdate</v>
      </c>
      <c r="H27" s="1" t="s">
        <v>133</v>
      </c>
      <c r="J27" t="str">
        <f t="shared" si="2"/>
        <v>clearing_date</v>
      </c>
      <c r="K27" t="s">
        <v>198</v>
      </c>
    </row>
    <row r="28" spans="2:20" x14ac:dyDescent="0.25">
      <c r="E28" s="1" t="s">
        <v>43</v>
      </c>
      <c r="F28" s="1" t="s">
        <v>478</v>
      </c>
      <c r="G28" t="str">
        <f t="shared" si="1"/>
        <v>filingreturnperiod</v>
      </c>
      <c r="H28" s="1" t="s">
        <v>134</v>
      </c>
      <c r="I28" t="s">
        <v>212</v>
      </c>
      <c r="J28" t="str">
        <f t="shared" si="2"/>
        <v>expected_filing_date</v>
      </c>
      <c r="K28" t="s">
        <v>198</v>
      </c>
      <c r="L28" t="str">
        <f t="shared" ref="L28" si="7">SUBSTITUTE(TRIM(RIGHT(SUBSTITUTE(TRIM(H28),"_",REPT(" ",100)),100)),";","")</f>
        <v>date</v>
      </c>
      <c r="M28" t="str">
        <f t="shared" ref="M28:M30" si="8">INDEX($T$32:$T$47,MATCH(L28,$S$32:$S$47,0))</f>
        <v>abap.dats;</v>
      </c>
      <c r="O28" t="str">
        <f>IFERROR(LEFT(H28,FIND(":",H28))&amp;" "&amp;M28,"")</f>
        <v xml:space="preserve">  expected_filing_date    : abap.dats;</v>
      </c>
    </row>
    <row r="29" spans="2:20" x14ac:dyDescent="0.25">
      <c r="E29" s="1" t="s">
        <v>44</v>
      </c>
      <c r="F29" s="1" t="s">
        <v>478</v>
      </c>
      <c r="G29" t="str">
        <f t="shared" si="1"/>
        <v>filingstatus</v>
      </c>
      <c r="H29" s="1" t="s">
        <v>135</v>
      </c>
      <c r="I29" t="s">
        <v>211</v>
      </c>
      <c r="J29" t="str">
        <f t="shared" si="2"/>
        <v>due_date_before_filing</v>
      </c>
      <c r="K29" t="s">
        <v>198</v>
      </c>
      <c r="L29" t="str">
        <f t="shared" ref="L29:L30" si="9">SUBSTITUTE(TRIM(RIGHT(SUBSTITUTE(TRIM(H29),"_",REPT(" ",100)),100)),";","")</f>
        <v>filing</v>
      </c>
      <c r="M29" t="str">
        <f t="shared" si="8"/>
        <v>abap.char(1);</v>
      </c>
      <c r="O29" t="str">
        <f t="shared" ref="O29:O92" si="10">IFERROR(LEFT(H29,FIND(":",H29))&amp;" "&amp;M29,"")</f>
        <v xml:space="preserve">  due_date_before_filing  : abap.char(1);</v>
      </c>
    </row>
    <row r="30" spans="2:20" x14ac:dyDescent="0.25">
      <c r="E30" s="2"/>
      <c r="F30" s="2"/>
      <c r="G30" t="str">
        <f t="shared" si="1"/>
        <v/>
      </c>
      <c r="H30" s="1" t="s">
        <v>136</v>
      </c>
      <c r="I30" t="s">
        <v>211</v>
      </c>
      <c r="J30" t="str">
        <f t="shared" si="2"/>
        <v>cleared_before_filing</v>
      </c>
      <c r="K30" t="s">
        <v>198</v>
      </c>
      <c r="L30" t="str">
        <f t="shared" si="9"/>
        <v>fil</v>
      </c>
      <c r="M30" t="str">
        <f t="shared" si="8"/>
        <v>abap.char(1);</v>
      </c>
      <c r="O30" t="str">
        <f t="shared" si="10"/>
        <v xml:space="preserve">  cleared_before_filing   : abap.char(1);</v>
      </c>
    </row>
    <row r="31" spans="2:20" x14ac:dyDescent="0.25">
      <c r="E31" s="1" t="s">
        <v>113</v>
      </c>
      <c r="F31" s="1"/>
      <c r="G31" t="str">
        <f t="shared" si="1"/>
        <v/>
      </c>
      <c r="H31" s="2"/>
      <c r="J31" t="str">
        <f t="shared" si="2"/>
        <v/>
      </c>
      <c r="K31" t="s">
        <v>198</v>
      </c>
      <c r="O31" t="str">
        <f t="shared" si="10"/>
        <v/>
      </c>
    </row>
    <row r="32" spans="2:20" x14ac:dyDescent="0.25">
      <c r="E32" s="1" t="s">
        <v>45</v>
      </c>
      <c r="F32" s="1" t="s">
        <v>482</v>
      </c>
      <c r="G32" t="str">
        <f t="shared" si="1"/>
        <v>rate</v>
      </c>
      <c r="H32" s="1" t="s">
        <v>137</v>
      </c>
      <c r="I32" t="s">
        <v>211</v>
      </c>
      <c r="J32" t="str">
        <f t="shared" si="2"/>
        <v>grc_check_applicable</v>
      </c>
      <c r="K32" t="s">
        <v>198</v>
      </c>
      <c r="L32" t="str">
        <f>SUBSTITUTE(TRIM(RIGHT(SUBSTITUTE(TRIM(H32),"_",REPT(" ",100)),100)),";","")</f>
        <v>appl</v>
      </c>
      <c r="M32" t="str">
        <f t="shared" ref="M32:M39" si="11">INDEX($T$32:$T$47,MATCH(L32,$S$32:$S$47,0))</f>
        <v>abap.char(1);</v>
      </c>
      <c r="O32" t="str">
        <f t="shared" si="10"/>
        <v xml:space="preserve">  grc_check_applicable    : abap.char(1);</v>
      </c>
      <c r="S32" t="s">
        <v>461</v>
      </c>
      <c r="T32" s="4" t="s">
        <v>448</v>
      </c>
    </row>
    <row r="33" spans="5:20" x14ac:dyDescent="0.25">
      <c r="E33" s="2"/>
      <c r="F33" s="2"/>
      <c r="G33" t="str">
        <f t="shared" si="1"/>
        <v/>
      </c>
      <c r="H33" s="1" t="s">
        <v>138</v>
      </c>
      <c r="I33" t="s">
        <v>210</v>
      </c>
      <c r="J33" t="str">
        <f t="shared" si="2"/>
        <v>grc_checked_on</v>
      </c>
      <c r="K33" t="s">
        <v>198</v>
      </c>
      <c r="L33" t="str">
        <f t="shared" ref="L33:L39" si="12">SUBSTITUTE(TRIM(RIGHT(SUBSTITUTE(TRIM(H33),"_",REPT(" ",100)),100)),";","")</f>
        <v>date</v>
      </c>
      <c r="M33" t="str">
        <f t="shared" si="11"/>
        <v>abap.dats;</v>
      </c>
      <c r="O33" t="str">
        <f t="shared" si="10"/>
        <v xml:space="preserve">  grc_checked_on          : abap.dats;</v>
      </c>
      <c r="S33" t="s">
        <v>460</v>
      </c>
      <c r="T33" s="4" t="s">
        <v>449</v>
      </c>
    </row>
    <row r="34" spans="5:20" x14ac:dyDescent="0.25">
      <c r="E34" s="1" t="s">
        <v>113</v>
      </c>
      <c r="F34" s="1"/>
      <c r="G34" t="str">
        <f t="shared" si="1"/>
        <v/>
      </c>
      <c r="H34" s="1" t="s">
        <v>139</v>
      </c>
      <c r="I34" t="s">
        <v>213</v>
      </c>
      <c r="J34" t="str">
        <f t="shared" si="2"/>
        <v>grc_checked_at</v>
      </c>
      <c r="K34" t="s">
        <v>198</v>
      </c>
      <c r="L34" t="str">
        <f t="shared" si="12"/>
        <v>time</v>
      </c>
      <c r="M34" t="str">
        <f t="shared" si="11"/>
        <v>abap.tims;</v>
      </c>
      <c r="O34" t="str">
        <f t="shared" si="10"/>
        <v xml:space="preserve">  grc_checked_at          : abap.tims;</v>
      </c>
      <c r="S34" t="s">
        <v>459</v>
      </c>
      <c r="T34" s="4" t="s">
        <v>450</v>
      </c>
    </row>
    <row r="35" spans="5:20" x14ac:dyDescent="0.25">
      <c r="E35" s="1" t="s">
        <v>46</v>
      </c>
      <c r="F35" s="1" t="s">
        <v>482</v>
      </c>
      <c r="G35" t="str">
        <f t="shared" si="1"/>
        <v>taxablevalue</v>
      </c>
      <c r="H35" s="1" t="s">
        <v>140</v>
      </c>
      <c r="I35" t="s">
        <v>214</v>
      </c>
      <c r="J35" t="str">
        <f t="shared" si="2"/>
        <v>grc_checked_by</v>
      </c>
      <c r="K35" t="s">
        <v>198</v>
      </c>
      <c r="L35" t="str">
        <f t="shared" si="12"/>
        <v>user</v>
      </c>
      <c r="M35" t="str">
        <f t="shared" si="11"/>
        <v>abap.char(80);</v>
      </c>
      <c r="O35" t="str">
        <f t="shared" si="10"/>
        <v xml:space="preserve">  grc_checked_by          : abap.char(80);</v>
      </c>
      <c r="S35" t="s">
        <v>455</v>
      </c>
      <c r="T35" s="4" t="s">
        <v>451</v>
      </c>
    </row>
    <row r="36" spans="5:20" x14ac:dyDescent="0.25">
      <c r="E36" s="2"/>
      <c r="F36" s="2"/>
      <c r="G36" t="str">
        <f t="shared" si="1"/>
        <v/>
      </c>
      <c r="H36" s="1" t="s">
        <v>141</v>
      </c>
      <c r="I36" t="s">
        <v>215</v>
      </c>
      <c r="J36" t="str">
        <f t="shared" si="2"/>
        <v>grc_score</v>
      </c>
      <c r="K36" t="s">
        <v>198</v>
      </c>
      <c r="L36" t="str">
        <f t="shared" si="12"/>
        <v>score</v>
      </c>
      <c r="M36" t="str">
        <f t="shared" si="11"/>
        <v>abap.char(5);</v>
      </c>
      <c r="O36" t="str">
        <f t="shared" si="10"/>
        <v xml:space="preserve">  grc_score               : abap.char(5);</v>
      </c>
      <c r="S36" t="s">
        <v>456</v>
      </c>
      <c r="T36" s="4" t="s">
        <v>452</v>
      </c>
    </row>
    <row r="37" spans="5:20" x14ac:dyDescent="0.25">
      <c r="E37" s="1" t="s">
        <v>113</v>
      </c>
      <c r="F37" s="1"/>
      <c r="G37" t="str">
        <f t="shared" si="1"/>
        <v/>
      </c>
      <c r="H37" s="1" t="s">
        <v>142</v>
      </c>
      <c r="I37" t="s">
        <v>215</v>
      </c>
      <c r="J37" t="str">
        <f t="shared" si="2"/>
        <v>gstr3b_score</v>
      </c>
      <c r="K37" t="s">
        <v>198</v>
      </c>
      <c r="L37" t="str">
        <f t="shared" si="12"/>
        <v>score</v>
      </c>
      <c r="M37" t="str">
        <f t="shared" si="11"/>
        <v>abap.char(5);</v>
      </c>
      <c r="O37" t="str">
        <f t="shared" si="10"/>
        <v xml:space="preserve">  gstr3b_score             : abap.char(5);</v>
      </c>
      <c r="S37" t="s">
        <v>457</v>
      </c>
      <c r="T37" s="4" t="s">
        <v>453</v>
      </c>
    </row>
    <row r="38" spans="5:20" x14ac:dyDescent="0.25">
      <c r="E38" s="1" t="s">
        <v>47</v>
      </c>
      <c r="F38" s="1" t="s">
        <v>482</v>
      </c>
      <c r="G38" t="str">
        <f t="shared" si="1"/>
        <v>igstamount</v>
      </c>
      <c r="H38" s="1" t="s">
        <v>143</v>
      </c>
      <c r="I38" t="s">
        <v>211</v>
      </c>
      <c r="J38" t="str">
        <f t="shared" si="2"/>
        <v>grc_check_result</v>
      </c>
      <c r="K38" t="s">
        <v>198</v>
      </c>
      <c r="L38" t="str">
        <f t="shared" si="12"/>
        <v>result</v>
      </c>
      <c r="M38" t="str">
        <f t="shared" si="11"/>
        <v>abap.char(1);</v>
      </c>
      <c r="O38" t="str">
        <f t="shared" si="10"/>
        <v xml:space="preserve">  grc_check_result        : abap.char(1);</v>
      </c>
      <c r="S38" t="s">
        <v>458</v>
      </c>
      <c r="T38" s="4" t="s">
        <v>454</v>
      </c>
    </row>
    <row r="39" spans="5:20" x14ac:dyDescent="0.25">
      <c r="E39" s="2"/>
      <c r="F39" s="2"/>
      <c r="G39" t="str">
        <f t="shared" si="1"/>
        <v/>
      </c>
      <c r="H39" s="1" t="s">
        <v>144</v>
      </c>
      <c r="I39" t="s">
        <v>216</v>
      </c>
      <c r="J39" t="str">
        <f t="shared" si="2"/>
        <v>grc_check_comment</v>
      </c>
      <c r="K39" t="s">
        <v>198</v>
      </c>
      <c r="L39" t="str">
        <f t="shared" si="12"/>
        <v>comment</v>
      </c>
      <c r="M39" t="str">
        <f t="shared" si="11"/>
        <v>abap.char(200);</v>
      </c>
      <c r="O39" t="str">
        <f t="shared" si="10"/>
        <v xml:space="preserve">  grc_check_comment       : abap.char(200);</v>
      </c>
      <c r="S39" t="s">
        <v>462</v>
      </c>
      <c r="T39" s="4" t="s">
        <v>463</v>
      </c>
    </row>
    <row r="40" spans="5:20" x14ac:dyDescent="0.25">
      <c r="E40" s="1" t="s">
        <v>113</v>
      </c>
      <c r="F40" s="1"/>
      <c r="G40" t="str">
        <f t="shared" si="1"/>
        <v/>
      </c>
      <c r="H40" s="2"/>
      <c r="J40" t="str">
        <f t="shared" si="2"/>
        <v/>
      </c>
      <c r="K40" t="s">
        <v>198</v>
      </c>
      <c r="O40" t="str">
        <f t="shared" si="10"/>
        <v/>
      </c>
      <c r="S40" t="s">
        <v>464</v>
      </c>
      <c r="T40" s="4" t="s">
        <v>466</v>
      </c>
    </row>
    <row r="41" spans="5:20" x14ac:dyDescent="0.25">
      <c r="E41" s="1" t="s">
        <v>48</v>
      </c>
      <c r="F41" s="1" t="s">
        <v>482</v>
      </c>
      <c r="G41" t="str">
        <f t="shared" si="1"/>
        <v>cgstamount</v>
      </c>
      <c r="H41" s="1" t="s">
        <v>145</v>
      </c>
      <c r="I41" t="s">
        <v>210</v>
      </c>
      <c r="J41" t="str">
        <f t="shared" si="2"/>
        <v>blocked_on</v>
      </c>
      <c r="K41" t="s">
        <v>198</v>
      </c>
      <c r="L41" t="str">
        <f t="shared" ref="L41" si="13">SUBSTITUTE(TRIM(RIGHT(SUBSTITUTE(TRIM(H41),"_",REPT(" ",100)),100)),";","")</f>
        <v>date</v>
      </c>
      <c r="M41" t="str">
        <f>INDEX($T$32:$T$47,MATCH(L41,$S$32:$S$47,0))</f>
        <v>abap.dats;</v>
      </c>
      <c r="O41" t="str">
        <f t="shared" si="10"/>
        <v xml:space="preserve">  blocked_on              : abap.dats;</v>
      </c>
      <c r="S41" t="s">
        <v>465</v>
      </c>
      <c r="T41" s="4" t="s">
        <v>463</v>
      </c>
    </row>
    <row r="42" spans="5:20" x14ac:dyDescent="0.25">
      <c r="E42" s="2"/>
      <c r="F42" s="2"/>
      <c r="G42" t="str">
        <f t="shared" si="1"/>
        <v/>
      </c>
      <c r="H42" s="1" t="s">
        <v>146</v>
      </c>
      <c r="I42" t="s">
        <v>217</v>
      </c>
      <c r="J42" t="str">
        <f t="shared" si="2"/>
        <v>blocked_at</v>
      </c>
      <c r="K42" t="s">
        <v>198</v>
      </c>
      <c r="L42" t="str">
        <f t="shared" ref="L42:L44" si="14">SUBSTITUTE(TRIM(RIGHT(SUBSTITUTE(TRIM(H42),"_",REPT(" ",100)),100)),";","")</f>
        <v>time</v>
      </c>
      <c r="M42" t="str">
        <f>INDEX($T$32:$T$47,MATCH(L42,$S$32:$S$47,0))</f>
        <v>abap.tims;</v>
      </c>
      <c r="O42" t="str">
        <f t="shared" si="10"/>
        <v xml:space="preserve">  blocked_at              : abap.tims;</v>
      </c>
      <c r="S42" t="s">
        <v>229</v>
      </c>
      <c r="T42" s="4" t="s">
        <v>463</v>
      </c>
    </row>
    <row r="43" spans="5:20" x14ac:dyDescent="0.25">
      <c r="E43" s="1" t="s">
        <v>113</v>
      </c>
      <c r="F43" s="1"/>
      <c r="G43" t="str">
        <f t="shared" si="1"/>
        <v/>
      </c>
      <c r="H43" s="1" t="s">
        <v>147</v>
      </c>
      <c r="I43" t="s">
        <v>214</v>
      </c>
      <c r="J43" t="str">
        <f t="shared" si="2"/>
        <v>blocked_by</v>
      </c>
      <c r="K43" t="s">
        <v>198</v>
      </c>
      <c r="L43" t="str">
        <f t="shared" si="14"/>
        <v>user</v>
      </c>
      <c r="M43" t="str">
        <f>INDEX($T$32:$T$47,MATCH(L43,$S$32:$S$47,0))</f>
        <v>abap.char(80);</v>
      </c>
      <c r="O43" t="str">
        <f t="shared" si="10"/>
        <v xml:space="preserve">  blocked_by              : abap.char(80);</v>
      </c>
      <c r="S43" t="s">
        <v>467</v>
      </c>
      <c r="T43" s="4" t="s">
        <v>463</v>
      </c>
    </row>
    <row r="44" spans="5:20" x14ac:dyDescent="0.25">
      <c r="E44" s="1" t="s">
        <v>49</v>
      </c>
      <c r="F44" s="1" t="s">
        <v>482</v>
      </c>
      <c r="G44" t="str">
        <f t="shared" si="1"/>
        <v>sgstamount</v>
      </c>
      <c r="H44" s="1" t="s">
        <v>148</v>
      </c>
      <c r="I44" t="s">
        <v>216</v>
      </c>
      <c r="J44" t="str">
        <f t="shared" si="2"/>
        <v>block_comment</v>
      </c>
      <c r="K44" t="s">
        <v>198</v>
      </c>
      <c r="L44" t="str">
        <f t="shared" si="14"/>
        <v>comment</v>
      </c>
      <c r="M44" t="str">
        <f>INDEX($T$32:$T$47,MATCH(L44,$S$32:$S$47,0))</f>
        <v>abap.char(200);</v>
      </c>
      <c r="O44" t="str">
        <f t="shared" si="10"/>
        <v xml:space="preserve">  block_comment           : abap.char(200);</v>
      </c>
      <c r="S44" t="s">
        <v>468</v>
      </c>
      <c r="T44" s="4" t="s">
        <v>463</v>
      </c>
    </row>
    <row r="45" spans="5:20" x14ac:dyDescent="0.25">
      <c r="E45" s="2"/>
      <c r="F45" s="2"/>
      <c r="G45" t="str">
        <f t="shared" si="1"/>
        <v/>
      </c>
      <c r="H45" s="2"/>
      <c r="J45" t="str">
        <f t="shared" si="2"/>
        <v/>
      </c>
      <c r="K45" t="s">
        <v>198</v>
      </c>
      <c r="O45" t="str">
        <f t="shared" si="10"/>
        <v/>
      </c>
      <c r="S45" t="s">
        <v>469</v>
      </c>
      <c r="T45" s="4" t="s">
        <v>463</v>
      </c>
    </row>
    <row r="46" spans="5:20" x14ac:dyDescent="0.25">
      <c r="E46" s="1" t="s">
        <v>113</v>
      </c>
      <c r="F46" s="1"/>
      <c r="G46" t="str">
        <f t="shared" si="1"/>
        <v/>
      </c>
      <c r="H46" s="1" t="s">
        <v>149</v>
      </c>
      <c r="I46" t="s">
        <v>218</v>
      </c>
      <c r="J46" t="str">
        <f t="shared" si="2"/>
        <v>split_comp_code</v>
      </c>
      <c r="K46" t="s">
        <v>198</v>
      </c>
      <c r="L46" t="str">
        <f t="shared" ref="L46" si="15">SUBSTITUTE(TRIM(RIGHT(SUBSTITUTE(TRIM(H46),"_",REPT(" ",100)),100)),";","")</f>
        <v>comp</v>
      </c>
      <c r="M46" t="str">
        <f t="shared" ref="M46:M52" si="16">INDEX($T$32:$T$47,MATCH(L46,$S$32:$S$47,0))</f>
        <v>abap.char(4);</v>
      </c>
      <c r="O46" t="str">
        <f t="shared" si="10"/>
        <v xml:space="preserve">  split_comp_code         : abap.char(4);</v>
      </c>
      <c r="S46" t="s">
        <v>230</v>
      </c>
      <c r="T46" s="4" t="s">
        <v>454</v>
      </c>
    </row>
    <row r="47" spans="5:20" x14ac:dyDescent="0.25">
      <c r="E47" s="1" t="s">
        <v>50</v>
      </c>
      <c r="F47" s="1"/>
      <c r="G47" t="str">
        <f t="shared" si="1"/>
        <v>totaltax</v>
      </c>
      <c r="H47" s="1" t="s">
        <v>150</v>
      </c>
      <c r="I47" t="s">
        <v>219</v>
      </c>
      <c r="J47" t="str">
        <f t="shared" si="2"/>
        <v>split_gst_doc_num</v>
      </c>
      <c r="K47" t="s">
        <v>198</v>
      </c>
      <c r="L47" t="str">
        <f t="shared" ref="L47:L52" si="17">SUBSTITUTE(TRIM(RIGHT(SUBSTITUTE(TRIM(H47),"_",REPT(" ",100)),100)),";","")</f>
        <v>doc</v>
      </c>
      <c r="M47" t="str">
        <f t="shared" si="16"/>
        <v>abap.char(10);</v>
      </c>
      <c r="O47" t="str">
        <f t="shared" si="10"/>
        <v xml:space="preserve">  split_gst_doc_num       : abap.char(10);</v>
      </c>
      <c r="S47" t="s">
        <v>470</v>
      </c>
      <c r="T47" s="4" t="s">
        <v>454</v>
      </c>
    </row>
    <row r="48" spans="5:20" x14ac:dyDescent="0.25">
      <c r="E48" s="2"/>
      <c r="F48" s="2"/>
      <c r="G48" t="str">
        <f t="shared" si="1"/>
        <v/>
      </c>
      <c r="H48" s="1" t="s">
        <v>151</v>
      </c>
      <c r="I48" t="s">
        <v>220</v>
      </c>
      <c r="J48" t="str">
        <f t="shared" si="2"/>
        <v>split_year</v>
      </c>
      <c r="K48" t="s">
        <v>198</v>
      </c>
      <c r="L48" t="str">
        <f t="shared" si="17"/>
        <v>year</v>
      </c>
      <c r="M48" t="str">
        <f t="shared" si="16"/>
        <v>abap.numc(4);</v>
      </c>
      <c r="O48" t="str">
        <f t="shared" si="10"/>
        <v xml:space="preserve">  split_year              : abap.numc(4);</v>
      </c>
      <c r="S48" t="s">
        <v>474</v>
      </c>
      <c r="T48" s="4" t="s">
        <v>450</v>
      </c>
    </row>
    <row r="49" spans="5:15" x14ac:dyDescent="0.25">
      <c r="E49" s="1" t="s">
        <v>51</v>
      </c>
      <c r="F49" s="1"/>
      <c r="G49" t="str">
        <f t="shared" si="1"/>
        <v>rec_date</v>
      </c>
      <c r="H49" s="1" t="s">
        <v>152</v>
      </c>
      <c r="I49" t="s">
        <v>212</v>
      </c>
      <c r="J49" t="str">
        <f t="shared" si="2"/>
        <v>split_on</v>
      </c>
      <c r="K49" t="s">
        <v>198</v>
      </c>
      <c r="L49" t="str">
        <f t="shared" si="17"/>
        <v>date</v>
      </c>
      <c r="M49" t="str">
        <f t="shared" si="16"/>
        <v>abap.dats;</v>
      </c>
      <c r="O49" t="str">
        <f t="shared" si="10"/>
        <v xml:space="preserve">  split_on                : abap.dats;</v>
      </c>
    </row>
    <row r="50" spans="5:15" x14ac:dyDescent="0.25">
      <c r="E50" s="1" t="s">
        <v>52</v>
      </c>
      <c r="F50" s="1"/>
      <c r="G50" t="str">
        <f t="shared" si="1"/>
        <v>rec_time</v>
      </c>
      <c r="H50" s="1" t="s">
        <v>153</v>
      </c>
      <c r="I50" t="s">
        <v>213</v>
      </c>
      <c r="J50" t="str">
        <f t="shared" si="2"/>
        <v>split_at</v>
      </c>
      <c r="K50" t="s">
        <v>198</v>
      </c>
      <c r="L50" t="str">
        <f t="shared" si="17"/>
        <v>time</v>
      </c>
      <c r="M50" t="str">
        <f t="shared" si="16"/>
        <v>abap.tims;</v>
      </c>
      <c r="O50" t="str">
        <f t="shared" si="10"/>
        <v xml:space="preserve">  split_at                : abap.tims;</v>
      </c>
    </row>
    <row r="51" spans="5:15" x14ac:dyDescent="0.25">
      <c r="E51" s="2"/>
      <c r="F51" s="2"/>
      <c r="G51" t="str">
        <f t="shared" si="1"/>
        <v/>
      </c>
      <c r="H51" s="1" t="s">
        <v>154</v>
      </c>
      <c r="I51" t="s">
        <v>214</v>
      </c>
      <c r="J51" t="str">
        <f t="shared" si="2"/>
        <v>split_by</v>
      </c>
      <c r="K51" t="s">
        <v>198</v>
      </c>
      <c r="L51" t="str">
        <f t="shared" si="17"/>
        <v>user</v>
      </c>
      <c r="M51" t="str">
        <f t="shared" si="16"/>
        <v>abap.char(80);</v>
      </c>
      <c r="O51" t="str">
        <f t="shared" si="10"/>
        <v xml:space="preserve">  split_by                : abap.char(80);</v>
      </c>
    </row>
    <row r="52" spans="5:15" x14ac:dyDescent="0.25">
      <c r="E52" s="1" t="s">
        <v>114</v>
      </c>
      <c r="F52" s="1"/>
      <c r="G52" t="str">
        <f t="shared" si="1"/>
        <v/>
      </c>
      <c r="H52" s="1" t="s">
        <v>155</v>
      </c>
      <c r="J52" t="str">
        <f t="shared" si="2"/>
        <v>split_comment</v>
      </c>
      <c r="K52" t="s">
        <v>198</v>
      </c>
      <c r="L52" t="str">
        <f t="shared" si="17"/>
        <v>comment</v>
      </c>
      <c r="M52" t="str">
        <f t="shared" si="16"/>
        <v>abap.char(200);</v>
      </c>
      <c r="O52" t="str">
        <f t="shared" si="10"/>
        <v xml:space="preserve">  split_comment           : abap.char(200);</v>
      </c>
    </row>
    <row r="53" spans="5:15" x14ac:dyDescent="0.25">
      <c r="E53" s="2"/>
      <c r="F53" s="2"/>
      <c r="G53" t="str">
        <f t="shared" si="1"/>
        <v/>
      </c>
      <c r="H53" s="2"/>
      <c r="J53" t="str">
        <f t="shared" si="2"/>
        <v/>
      </c>
      <c r="K53" t="s">
        <v>198</v>
      </c>
      <c r="O53" t="str">
        <f t="shared" si="10"/>
        <v/>
      </c>
    </row>
    <row r="54" spans="5:15" x14ac:dyDescent="0.25">
      <c r="E54" s="1" t="s">
        <v>115</v>
      </c>
      <c r="F54" s="1"/>
      <c r="G54" t="str">
        <f t="shared" si="1"/>
        <v/>
      </c>
      <c r="H54" s="1" t="s">
        <v>156</v>
      </c>
      <c r="J54" t="str">
        <f t="shared" si="2"/>
        <v>split_rev_comp_code</v>
      </c>
      <c r="K54" t="s">
        <v>198</v>
      </c>
      <c r="L54" t="str">
        <f t="shared" ref="L54" si="18">SUBSTITUTE(TRIM(RIGHT(SUBSTITUTE(TRIM(H54),"_",REPT(" ",100)),100)),";","")</f>
        <v>comp</v>
      </c>
      <c r="M54" t="str">
        <f t="shared" ref="M54:M60" si="19">INDEX($T$32:$T$47,MATCH(L54,$S$32:$S$47,0))</f>
        <v>abap.char(4);</v>
      </c>
      <c r="O54" t="str">
        <f t="shared" si="10"/>
        <v xml:space="preserve">  split_rev_comp_code     : abap.char(4);</v>
      </c>
    </row>
    <row r="55" spans="5:15" x14ac:dyDescent="0.25">
      <c r="E55" s="1" t="s">
        <v>116</v>
      </c>
      <c r="F55" s="1"/>
      <c r="G55" t="str">
        <f t="shared" si="1"/>
        <v>status_desc</v>
      </c>
      <c r="H55" s="1" t="s">
        <v>157</v>
      </c>
      <c r="I55" t="s">
        <v>219</v>
      </c>
      <c r="J55" t="str">
        <f t="shared" si="2"/>
        <v>split_rev_doc_num</v>
      </c>
      <c r="K55" t="s">
        <v>198</v>
      </c>
      <c r="L55" t="str">
        <f t="shared" ref="L55:L60" si="20">SUBSTITUTE(TRIM(RIGHT(SUBSTITUTE(TRIM(H55),"_",REPT(" ",100)),100)),";","")</f>
        <v>doc</v>
      </c>
      <c r="M55" t="str">
        <f t="shared" si="19"/>
        <v>abap.char(10);</v>
      </c>
      <c r="O55" t="str">
        <f t="shared" si="10"/>
        <v xml:space="preserve">  split_rev_doc_num       : abap.char(10);</v>
      </c>
    </row>
    <row r="56" spans="5:15" x14ac:dyDescent="0.25">
      <c r="E56" s="2"/>
      <c r="F56" s="2"/>
      <c r="G56" t="str">
        <f t="shared" si="1"/>
        <v/>
      </c>
      <c r="H56" s="1" t="s">
        <v>158</v>
      </c>
      <c r="J56" t="str">
        <f t="shared" si="2"/>
        <v>split_rev_year</v>
      </c>
      <c r="K56" t="s">
        <v>198</v>
      </c>
      <c r="L56" t="str">
        <f t="shared" si="20"/>
        <v>year</v>
      </c>
      <c r="M56" t="str">
        <f t="shared" si="19"/>
        <v>abap.numc(4);</v>
      </c>
      <c r="O56" t="str">
        <f t="shared" si="10"/>
        <v xml:space="preserve">  split_rev_year          : abap.numc(4);</v>
      </c>
    </row>
    <row r="57" spans="5:15" x14ac:dyDescent="0.25">
      <c r="E57" s="1" t="s">
        <v>117</v>
      </c>
      <c r="F57" s="1"/>
      <c r="G57" t="str">
        <f t="shared" si="1"/>
        <v/>
      </c>
      <c r="H57" s="1" t="s">
        <v>159</v>
      </c>
      <c r="J57" t="str">
        <f t="shared" si="2"/>
        <v>split_rev_on</v>
      </c>
      <c r="K57" t="s">
        <v>198</v>
      </c>
      <c r="L57" t="str">
        <f t="shared" si="20"/>
        <v>date</v>
      </c>
      <c r="M57" t="str">
        <f t="shared" si="19"/>
        <v>abap.dats;</v>
      </c>
      <c r="O57" t="str">
        <f t="shared" si="10"/>
        <v xml:space="preserve">  split_rev_on            : abap.dats;</v>
      </c>
    </row>
    <row r="58" spans="5:15" x14ac:dyDescent="0.25">
      <c r="E58" s="1" t="s">
        <v>118</v>
      </c>
      <c r="F58" s="1"/>
      <c r="G58" t="str">
        <f t="shared" si="1"/>
        <v>block_type_desc</v>
      </c>
      <c r="H58" s="1" t="s">
        <v>160</v>
      </c>
      <c r="J58" t="str">
        <f t="shared" si="2"/>
        <v>split_rev_at</v>
      </c>
      <c r="K58" t="s">
        <v>198</v>
      </c>
      <c r="L58" t="str">
        <f t="shared" si="20"/>
        <v>time</v>
      </c>
      <c r="M58" t="str">
        <f t="shared" si="19"/>
        <v>abap.tims;</v>
      </c>
      <c r="O58" t="str">
        <f t="shared" si="10"/>
        <v xml:space="preserve">  split_rev_at            : abap.tims;</v>
      </c>
    </row>
    <row r="59" spans="5:15" x14ac:dyDescent="0.25">
      <c r="E59" s="2"/>
      <c r="F59" s="2"/>
      <c r="G59" t="str">
        <f t="shared" si="1"/>
        <v/>
      </c>
      <c r="H59" s="1" t="s">
        <v>8</v>
      </c>
      <c r="J59" t="str">
        <f t="shared" si="2"/>
        <v>split_rev_by</v>
      </c>
      <c r="K59" t="s">
        <v>198</v>
      </c>
      <c r="L59" t="str">
        <f t="shared" si="20"/>
        <v>user</v>
      </c>
      <c r="M59" t="str">
        <f t="shared" si="19"/>
        <v>abap.char(80);</v>
      </c>
      <c r="O59" t="str">
        <f t="shared" si="10"/>
        <v xml:space="preserve">  split_rev_by            : abap.char(80);</v>
      </c>
    </row>
    <row r="60" spans="5:15" x14ac:dyDescent="0.25">
      <c r="E60" s="1" t="s">
        <v>53</v>
      </c>
      <c r="F60" s="1"/>
      <c r="G60" t="str">
        <f t="shared" si="1"/>
        <v>vendor_name</v>
      </c>
      <c r="H60" s="1" t="s">
        <v>161</v>
      </c>
      <c r="J60" t="str">
        <f t="shared" si="2"/>
        <v>split_rev_comment</v>
      </c>
      <c r="K60" t="s">
        <v>198</v>
      </c>
      <c r="L60" t="str">
        <f t="shared" si="20"/>
        <v>comment</v>
      </c>
      <c r="M60" t="str">
        <f t="shared" si="19"/>
        <v>abap.char(200);</v>
      </c>
      <c r="O60" t="str">
        <f t="shared" si="10"/>
        <v xml:space="preserve">  split_rev_comment       : abap.char(200);</v>
      </c>
    </row>
    <row r="61" spans="5:15" x14ac:dyDescent="0.25">
      <c r="E61" s="1" t="s">
        <v>54</v>
      </c>
      <c r="F61" s="1"/>
      <c r="G61" t="str">
        <f t="shared" si="1"/>
        <v>blart</v>
      </c>
      <c r="H61" s="2"/>
      <c r="J61" t="str">
        <f t="shared" si="2"/>
        <v/>
      </c>
      <c r="K61" t="s">
        <v>198</v>
      </c>
      <c r="O61" t="str">
        <f t="shared" si="10"/>
        <v/>
      </c>
    </row>
    <row r="62" spans="5:15" x14ac:dyDescent="0.25">
      <c r="E62" s="1" t="s">
        <v>55</v>
      </c>
      <c r="F62" s="1"/>
      <c r="G62" t="str">
        <f t="shared" si="1"/>
        <v>qblock</v>
      </c>
      <c r="H62" s="1" t="s">
        <v>162</v>
      </c>
      <c r="J62" t="str">
        <f t="shared" si="2"/>
        <v>jv_comp_code</v>
      </c>
      <c r="K62" t="s">
        <v>198</v>
      </c>
      <c r="L62" t="str">
        <f t="shared" ref="L62:L68" si="21">SUBSTITUTE(TRIM(RIGHT(SUBSTITUTE(TRIM(H62),"_",REPT(" ",100)),100)),";","")</f>
        <v>comp</v>
      </c>
      <c r="M62" t="str">
        <f t="shared" ref="M62:M68" si="22">INDEX($T$32:$T$47,MATCH(L62,$S$32:$S$47,0))</f>
        <v>abap.char(4);</v>
      </c>
      <c r="O62" t="str">
        <f t="shared" si="10"/>
        <v xml:space="preserve">  jv_comp_code            : abap.char(4);</v>
      </c>
    </row>
    <row r="63" spans="5:15" x14ac:dyDescent="0.25">
      <c r="E63" s="1" t="s">
        <v>56</v>
      </c>
      <c r="F63" s="1"/>
      <c r="G63" t="str">
        <f t="shared" si="1"/>
        <v>preconciliationsection</v>
      </c>
      <c r="H63" s="1" t="s">
        <v>163</v>
      </c>
      <c r="J63" t="str">
        <f t="shared" si="2"/>
        <v>jv_doc_num</v>
      </c>
      <c r="K63" t="s">
        <v>198</v>
      </c>
      <c r="L63" t="str">
        <f t="shared" si="21"/>
        <v>doc</v>
      </c>
      <c r="M63" t="str">
        <f t="shared" si="22"/>
        <v>abap.char(10);</v>
      </c>
      <c r="O63" t="str">
        <f t="shared" si="10"/>
        <v xml:space="preserve">  jv_doc_num              : abap.char(10);</v>
      </c>
    </row>
    <row r="64" spans="5:15" x14ac:dyDescent="0.25">
      <c r="E64" s="2"/>
      <c r="F64" s="2"/>
      <c r="G64" t="str">
        <f t="shared" si="1"/>
        <v/>
      </c>
      <c r="H64" s="1" t="s">
        <v>164</v>
      </c>
      <c r="J64" t="str">
        <f t="shared" si="2"/>
        <v>jv_year</v>
      </c>
      <c r="K64" t="s">
        <v>198</v>
      </c>
      <c r="L64" t="str">
        <f t="shared" si="21"/>
        <v>year</v>
      </c>
      <c r="M64" t="str">
        <f t="shared" si="22"/>
        <v>abap.numc(4);</v>
      </c>
      <c r="O64" t="str">
        <f t="shared" si="10"/>
        <v xml:space="preserve">  jv_year                 : abap.numc(4);</v>
      </c>
    </row>
    <row r="65" spans="5:15" x14ac:dyDescent="0.25">
      <c r="E65" s="1" t="s">
        <v>57</v>
      </c>
      <c r="F65" s="1" t="s">
        <v>483</v>
      </c>
      <c r="G65" t="str">
        <f t="shared" si="1"/>
        <v>cpgstin</v>
      </c>
      <c r="H65" s="1" t="s">
        <v>9</v>
      </c>
      <c r="J65" t="str">
        <f t="shared" si="2"/>
        <v>jv_posted_on</v>
      </c>
      <c r="K65" t="s">
        <v>198</v>
      </c>
      <c r="L65" t="str">
        <f t="shared" si="21"/>
        <v>date</v>
      </c>
      <c r="M65" t="str">
        <f t="shared" si="22"/>
        <v>abap.dats;</v>
      </c>
      <c r="O65" t="str">
        <f t="shared" si="10"/>
        <v xml:space="preserve">  jv_posted_on            : abap.dats;</v>
      </c>
    </row>
    <row r="66" spans="5:15" x14ac:dyDescent="0.25">
      <c r="E66" s="1" t="s">
        <v>58</v>
      </c>
      <c r="F66" s="1" t="s">
        <v>478</v>
      </c>
      <c r="G66" t="str">
        <f t="shared" si="1"/>
        <v>cptradename</v>
      </c>
      <c r="H66" s="1" t="s">
        <v>10</v>
      </c>
      <c r="J66" t="str">
        <f t="shared" si="2"/>
        <v>jv_posted_at</v>
      </c>
      <c r="K66" t="s">
        <v>198</v>
      </c>
      <c r="L66" t="str">
        <f t="shared" si="21"/>
        <v>time</v>
      </c>
      <c r="M66" t="str">
        <f t="shared" si="22"/>
        <v>abap.tims;</v>
      </c>
      <c r="O66" t="str">
        <f t="shared" si="10"/>
        <v xml:space="preserve">  jv_posted_at            : abap.tims;</v>
      </c>
    </row>
    <row r="67" spans="5:15" x14ac:dyDescent="0.25">
      <c r="E67" s="1" t="s">
        <v>59</v>
      </c>
      <c r="F67" s="1" t="s">
        <v>484</v>
      </c>
      <c r="G67" t="str">
        <f t="shared" si="1"/>
        <v>cplegalname</v>
      </c>
      <c r="H67" s="1" t="s">
        <v>11</v>
      </c>
      <c r="J67" t="str">
        <f t="shared" si="2"/>
        <v>jv_posted_by</v>
      </c>
      <c r="K67" t="s">
        <v>198</v>
      </c>
      <c r="L67" t="str">
        <f t="shared" si="21"/>
        <v>user</v>
      </c>
      <c r="M67" t="str">
        <f t="shared" si="22"/>
        <v>abap.char(80);</v>
      </c>
      <c r="O67" t="str">
        <f t="shared" si="10"/>
        <v xml:space="preserve">  jv_posted_by            : abap.char(80);</v>
      </c>
    </row>
    <row r="68" spans="5:15" x14ac:dyDescent="0.25">
      <c r="E68" s="1" t="s">
        <v>60</v>
      </c>
      <c r="F68" s="1" t="s">
        <v>483</v>
      </c>
      <c r="G68" t="str">
        <f t="shared" si="1"/>
        <v>cpdocumentnumber</v>
      </c>
      <c r="H68" s="1" t="s">
        <v>12</v>
      </c>
      <c r="J68" t="str">
        <f t="shared" si="2"/>
        <v>jv_comment</v>
      </c>
      <c r="K68" t="s">
        <v>198</v>
      </c>
      <c r="L68" t="str">
        <f t="shared" si="21"/>
        <v>comment</v>
      </c>
      <c r="M68" t="str">
        <f t="shared" si="22"/>
        <v>abap.char(200);</v>
      </c>
      <c r="O68" t="str">
        <f t="shared" si="10"/>
        <v xml:space="preserve">  jv_comment              : abap.char(200);</v>
      </c>
    </row>
    <row r="69" spans="5:15" x14ac:dyDescent="0.25">
      <c r="E69" s="1" t="s">
        <v>61</v>
      </c>
      <c r="F69" s="1" t="s">
        <v>484</v>
      </c>
      <c r="G69" t="str">
        <f t="shared" si="1"/>
        <v>cpdocumentdate</v>
      </c>
      <c r="H69" s="2"/>
      <c r="J69" t="str">
        <f t="shared" si="2"/>
        <v/>
      </c>
      <c r="K69" t="s">
        <v>198</v>
      </c>
      <c r="O69" t="str">
        <f t="shared" si="10"/>
        <v/>
      </c>
    </row>
    <row r="70" spans="5:15" x14ac:dyDescent="0.25">
      <c r="E70" s="1" t="s">
        <v>62</v>
      </c>
      <c r="F70" s="1" t="s">
        <v>484</v>
      </c>
      <c r="G70" t="str">
        <f t="shared" si="1"/>
        <v>cpvalue</v>
      </c>
      <c r="H70" s="1" t="s">
        <v>165</v>
      </c>
      <c r="J70" t="str">
        <f t="shared" si="2"/>
        <v>jv_rev_comp_code</v>
      </c>
      <c r="K70" t="s">
        <v>198</v>
      </c>
      <c r="L70" t="str">
        <f t="shared" ref="L70:L76" si="23">SUBSTITUTE(TRIM(RIGHT(SUBSTITUTE(TRIM(H70),"_",REPT(" ",100)),100)),";","")</f>
        <v>comp</v>
      </c>
      <c r="M70" t="str">
        <f t="shared" ref="M70:M76" si="24">INDEX($T$32:$T$47,MATCH(L70,$S$32:$S$47,0))</f>
        <v>abap.char(4);</v>
      </c>
      <c r="O70" t="str">
        <f t="shared" si="10"/>
        <v xml:space="preserve">  jv_rev_comp_code        : abap.char(4);</v>
      </c>
    </row>
    <row r="71" spans="5:15" x14ac:dyDescent="0.25">
      <c r="E71" s="1" t="s">
        <v>63</v>
      </c>
      <c r="F71" s="1" t="s">
        <v>485</v>
      </c>
      <c r="G71" t="str">
        <f t="shared" si="1"/>
        <v>cppos</v>
      </c>
      <c r="H71" s="1" t="s">
        <v>166</v>
      </c>
      <c r="J71" t="str">
        <f t="shared" si="2"/>
        <v>jv_rev_doc_num</v>
      </c>
      <c r="K71" t="s">
        <v>198</v>
      </c>
      <c r="L71" t="str">
        <f t="shared" si="23"/>
        <v>doc</v>
      </c>
      <c r="M71" t="str">
        <f t="shared" si="24"/>
        <v>abap.char(10);</v>
      </c>
      <c r="O71" t="str">
        <f t="shared" si="10"/>
        <v xml:space="preserve">  jv_rev_doc_num          : abap.char(10);</v>
      </c>
    </row>
    <row r="72" spans="5:15" x14ac:dyDescent="0.25">
      <c r="E72" s="1" t="s">
        <v>64</v>
      </c>
      <c r="F72" s="1" t="s">
        <v>484</v>
      </c>
      <c r="G72" t="str">
        <f t="shared" si="1"/>
        <v>cpreversecharge</v>
      </c>
      <c r="H72" s="1" t="s">
        <v>167</v>
      </c>
      <c r="J72" t="str">
        <f t="shared" si="2"/>
        <v>jv_rev_year</v>
      </c>
      <c r="K72" t="s">
        <v>198</v>
      </c>
      <c r="L72" t="str">
        <f t="shared" si="23"/>
        <v>year</v>
      </c>
      <c r="M72" t="str">
        <f t="shared" si="24"/>
        <v>abap.numc(4);</v>
      </c>
      <c r="O72" t="str">
        <f t="shared" si="10"/>
        <v xml:space="preserve">  jv_rev_year             : abap.numc(4);</v>
      </c>
    </row>
    <row r="73" spans="5:15" x14ac:dyDescent="0.25">
      <c r="E73" s="1" t="s">
        <v>65</v>
      </c>
      <c r="F73" s="1" t="s">
        <v>484</v>
      </c>
      <c r="G73" t="str">
        <f t="shared" si="1"/>
        <v>cptransactiontype</v>
      </c>
      <c r="H73" s="1" t="s">
        <v>168</v>
      </c>
      <c r="J73" t="str">
        <f t="shared" si="2"/>
        <v>jv_reversed_on</v>
      </c>
      <c r="K73" t="s">
        <v>198</v>
      </c>
      <c r="L73" t="str">
        <f t="shared" si="23"/>
        <v>date</v>
      </c>
      <c r="M73" t="str">
        <f t="shared" si="24"/>
        <v>abap.dats;</v>
      </c>
      <c r="O73" t="str">
        <f t="shared" si="10"/>
        <v xml:space="preserve">  jv_reversed_on          : abap.dats;</v>
      </c>
    </row>
    <row r="74" spans="5:15" x14ac:dyDescent="0.25">
      <c r="E74" s="1" t="s">
        <v>66</v>
      </c>
      <c r="F74" s="1" t="s">
        <v>484</v>
      </c>
      <c r="G74" t="str">
        <f t="shared" ref="G74:G137" si="25">IF(ISNUMBER(SEARCH("@",IFERROR(TRIM(SUBSTITUTE(MID(E74,1,FIND(":",E74)-1),"key","")),""))),"",IFERROR(TRIM(SUBSTITUTE(MID(E74,1,FIND(":",E74)-1),"key","")),""))</f>
        <v>cptaxpayertype</v>
      </c>
      <c r="H74" s="1" t="s">
        <v>169</v>
      </c>
      <c r="J74" t="str">
        <f t="shared" ref="J74:J111" si="26">IF(ISNUMBER(SEARCH("@",IFERROR(TRIM(SUBSTITUTE(MID(H74,1,FIND(":",H74)-1),"key","")),""))),"",IFERROR(TRIM(SUBSTITUTE(MID(H74,1,FIND(":",H74)-1),"key","")),""))</f>
        <v>jv_reversed_at</v>
      </c>
      <c r="K74" t="s">
        <v>198</v>
      </c>
      <c r="L74" t="str">
        <f t="shared" si="23"/>
        <v>time</v>
      </c>
      <c r="M74" t="str">
        <f t="shared" si="24"/>
        <v>abap.tims;</v>
      </c>
      <c r="O74" t="str">
        <f t="shared" si="10"/>
        <v xml:space="preserve">  jv_reversed_at          : abap.tims;</v>
      </c>
    </row>
    <row r="75" spans="5:15" x14ac:dyDescent="0.25">
      <c r="E75" s="1" t="s">
        <v>67</v>
      </c>
      <c r="F75" s="1" t="s">
        <v>484</v>
      </c>
      <c r="G75" t="str">
        <f t="shared" si="25"/>
        <v>cptaxablevalue</v>
      </c>
      <c r="H75" s="1" t="s">
        <v>170</v>
      </c>
      <c r="J75" t="str">
        <f t="shared" si="26"/>
        <v>jv_reversed_by</v>
      </c>
      <c r="K75" t="s">
        <v>198</v>
      </c>
      <c r="L75" t="str">
        <f t="shared" si="23"/>
        <v>user</v>
      </c>
      <c r="M75" t="str">
        <f t="shared" si="24"/>
        <v>abap.char(80);</v>
      </c>
      <c r="O75" t="str">
        <f t="shared" si="10"/>
        <v xml:space="preserve">  jv_reversed_by          : abap.char(80);</v>
      </c>
    </row>
    <row r="76" spans="5:15" x14ac:dyDescent="0.25">
      <c r="E76" s="1" t="s">
        <v>68</v>
      </c>
      <c r="F76" s="1" t="s">
        <v>484</v>
      </c>
      <c r="G76" t="str">
        <f t="shared" si="25"/>
        <v>cprate</v>
      </c>
      <c r="H76" s="1" t="s">
        <v>171</v>
      </c>
      <c r="J76" t="str">
        <f t="shared" si="26"/>
        <v>jv_rev_comment</v>
      </c>
      <c r="K76" t="s">
        <v>198</v>
      </c>
      <c r="L76" t="str">
        <f t="shared" si="23"/>
        <v>comment</v>
      </c>
      <c r="M76" t="str">
        <f t="shared" si="24"/>
        <v>abap.char(200);</v>
      </c>
      <c r="O76" t="str">
        <f t="shared" si="10"/>
        <v xml:space="preserve">  jv_rev_comment          : abap.char(200);</v>
      </c>
    </row>
    <row r="77" spans="5:15" x14ac:dyDescent="0.25">
      <c r="E77" s="2"/>
      <c r="F77" s="2"/>
      <c r="G77" t="str">
        <f t="shared" si="25"/>
        <v/>
      </c>
      <c r="H77" s="2"/>
      <c r="J77" t="str">
        <f t="shared" si="26"/>
        <v/>
      </c>
      <c r="K77" t="s">
        <v>198</v>
      </c>
      <c r="O77" t="str">
        <f t="shared" si="10"/>
        <v/>
      </c>
    </row>
    <row r="78" spans="5:15" x14ac:dyDescent="0.25">
      <c r="E78" s="1" t="s">
        <v>69</v>
      </c>
      <c r="F78" s="1" t="s">
        <v>484</v>
      </c>
      <c r="G78" t="str">
        <f t="shared" si="25"/>
        <v>cpigstamount</v>
      </c>
      <c r="H78" s="1" t="s">
        <v>172</v>
      </c>
      <c r="J78" t="str">
        <f t="shared" si="26"/>
        <v>released_on</v>
      </c>
      <c r="K78" t="s">
        <v>198</v>
      </c>
      <c r="L78" t="str">
        <f t="shared" ref="L78:L81" si="27">SUBSTITUTE(TRIM(RIGHT(SUBSTITUTE(TRIM(H78),"_",REPT(" ",100)),100)),";","")</f>
        <v>date</v>
      </c>
      <c r="M78" t="str">
        <f>INDEX($T$32:$T$47,MATCH(L78,$S$32:$S$47,0))</f>
        <v>abap.dats;</v>
      </c>
      <c r="O78" t="str">
        <f t="shared" si="10"/>
        <v xml:space="preserve">  released_on             : abap.dats;</v>
      </c>
    </row>
    <row r="79" spans="5:15" x14ac:dyDescent="0.25">
      <c r="E79" s="1" t="s">
        <v>70</v>
      </c>
      <c r="F79" s="1" t="s">
        <v>484</v>
      </c>
      <c r="G79" t="str">
        <f t="shared" si="25"/>
        <v>cpcgstamount</v>
      </c>
      <c r="H79" s="1" t="s">
        <v>173</v>
      </c>
      <c r="J79" t="str">
        <f t="shared" si="26"/>
        <v>released_at</v>
      </c>
      <c r="K79" t="s">
        <v>198</v>
      </c>
      <c r="L79" t="str">
        <f t="shared" si="27"/>
        <v>time</v>
      </c>
      <c r="M79" t="str">
        <f>INDEX($T$32:$T$47,MATCH(L79,$S$32:$S$47,0))</f>
        <v>abap.tims;</v>
      </c>
      <c r="O79" t="str">
        <f t="shared" si="10"/>
        <v xml:space="preserve">  released_at             : abap.tims;</v>
      </c>
    </row>
    <row r="80" spans="5:15" x14ac:dyDescent="0.25">
      <c r="E80" s="1" t="s">
        <v>71</v>
      </c>
      <c r="F80" s="1" t="s">
        <v>484</v>
      </c>
      <c r="G80" t="str">
        <f t="shared" si="25"/>
        <v>cpsgstamount</v>
      </c>
      <c r="H80" s="1" t="s">
        <v>174</v>
      </c>
      <c r="J80" t="str">
        <f t="shared" si="26"/>
        <v>released_by</v>
      </c>
      <c r="K80" t="s">
        <v>198</v>
      </c>
      <c r="L80" t="str">
        <f t="shared" si="27"/>
        <v>user</v>
      </c>
      <c r="M80" t="str">
        <f>INDEX($T$32:$T$47,MATCH(L80,$S$32:$S$47,0))</f>
        <v>abap.char(80);</v>
      </c>
      <c r="O80" t="str">
        <f t="shared" si="10"/>
        <v xml:space="preserve">  released_by             : abap.char(80);</v>
      </c>
    </row>
    <row r="81" spans="5:15" x14ac:dyDescent="0.25">
      <c r="E81" s="1" t="s">
        <v>72</v>
      </c>
      <c r="F81" s="1" t="s">
        <v>484</v>
      </c>
      <c r="G81" t="str">
        <f t="shared" si="25"/>
        <v>cpcessamount</v>
      </c>
      <c r="H81" s="1" t="s">
        <v>175</v>
      </c>
      <c r="J81" t="str">
        <f t="shared" si="26"/>
        <v>release_comment</v>
      </c>
      <c r="K81" t="s">
        <v>198</v>
      </c>
      <c r="L81" t="str">
        <f t="shared" si="27"/>
        <v>comment</v>
      </c>
      <c r="M81" t="str">
        <f>INDEX($T$32:$T$47,MATCH(L81,$S$32:$S$47,0))</f>
        <v>abap.char(200);</v>
      </c>
      <c r="O81" t="str">
        <f t="shared" si="10"/>
        <v xml:space="preserve">  release_comment         : abap.char(200);</v>
      </c>
    </row>
    <row r="82" spans="5:15" x14ac:dyDescent="0.25">
      <c r="E82" s="2"/>
      <c r="F82" s="2"/>
      <c r="G82" t="str">
        <f t="shared" si="25"/>
        <v/>
      </c>
      <c r="H82" s="2"/>
      <c r="J82" t="str">
        <f t="shared" si="26"/>
        <v/>
      </c>
      <c r="K82" t="s">
        <v>198</v>
      </c>
      <c r="O82" t="str">
        <f t="shared" si="10"/>
        <v/>
      </c>
    </row>
    <row r="83" spans="5:15" x14ac:dyDescent="0.25">
      <c r="E83" s="1" t="s">
        <v>73</v>
      </c>
      <c r="F83" s="1" t="s">
        <v>484</v>
      </c>
      <c r="G83" t="str">
        <f t="shared" si="25"/>
        <v>cpfilingstatus</v>
      </c>
      <c r="H83" s="1" t="s">
        <v>176</v>
      </c>
      <c r="J83" t="str">
        <f t="shared" si="26"/>
        <v>debit_note_comp</v>
      </c>
      <c r="K83" t="s">
        <v>198</v>
      </c>
      <c r="L83" t="str">
        <f t="shared" ref="L83" si="28">SUBSTITUTE(TRIM(RIGHT(SUBSTITUTE(TRIM(H83),"_",REPT(" ",100)),100)),";","")</f>
        <v>comp</v>
      </c>
      <c r="M83" t="str">
        <f>INDEX($T$32:$T$47,MATCH(L83,$S$32:$S$47,0))</f>
        <v>abap.char(4);</v>
      </c>
      <c r="O83" t="str">
        <f t="shared" si="10"/>
        <v xml:space="preserve">  debit_note_comp         : abap.char(4);</v>
      </c>
    </row>
    <row r="84" spans="5:15" x14ac:dyDescent="0.25">
      <c r="E84" s="1" t="s">
        <v>74</v>
      </c>
      <c r="F84" s="1" t="s">
        <v>484</v>
      </c>
      <c r="G84" t="str">
        <f t="shared" si="25"/>
        <v>cpfilingdate</v>
      </c>
      <c r="H84" s="1" t="s">
        <v>177</v>
      </c>
      <c r="J84" t="str">
        <f t="shared" si="26"/>
        <v>debit_note_num</v>
      </c>
      <c r="K84" t="s">
        <v>198</v>
      </c>
      <c r="L84" t="str">
        <f t="shared" ref="L84:L89" si="29">SUBSTITUTE(TRIM(RIGHT(SUBSTITUTE(TRIM(H84),"_",REPT(" ",100)),100)),";","")</f>
        <v>num</v>
      </c>
      <c r="M84" t="str">
        <f>INDEX($T$32:$T$60,MATCH(L84,$S$32:$S$60,0))</f>
        <v>abap.numc(4);</v>
      </c>
      <c r="O84" t="str">
        <f t="shared" si="10"/>
        <v xml:space="preserve">  debit_note_num          : abap.numc(4);</v>
      </c>
    </row>
    <row r="85" spans="5:15" x14ac:dyDescent="0.25">
      <c r="E85" s="1" t="s">
        <v>75</v>
      </c>
      <c r="F85" s="1" t="s">
        <v>475</v>
      </c>
      <c r="G85" t="str">
        <f t="shared" si="25"/>
        <v>cpfilingreturnperiod</v>
      </c>
      <c r="H85" s="1" t="s">
        <v>178</v>
      </c>
      <c r="J85" t="str">
        <f t="shared" si="26"/>
        <v>debit_note_year</v>
      </c>
      <c r="K85" t="s">
        <v>198</v>
      </c>
      <c r="L85" t="str">
        <f t="shared" si="29"/>
        <v>year</v>
      </c>
      <c r="M85" t="str">
        <f>INDEX($T$32:$T$47,MATCH(L85,$S$32:$S$47,0))</f>
        <v>abap.numc(4);</v>
      </c>
      <c r="O85" t="str">
        <f t="shared" si="10"/>
        <v xml:space="preserve">  debit_note_year         : abap.numc(4);</v>
      </c>
    </row>
    <row r="86" spans="5:15" x14ac:dyDescent="0.25">
      <c r="E86" s="2"/>
      <c r="F86" s="2"/>
      <c r="G86" t="str">
        <f t="shared" si="25"/>
        <v/>
      </c>
      <c r="H86" s="1" t="s">
        <v>179</v>
      </c>
      <c r="J86" t="str">
        <f t="shared" si="26"/>
        <v>debit_note_posted_on</v>
      </c>
      <c r="K86" t="s">
        <v>198</v>
      </c>
      <c r="L86" t="str">
        <f t="shared" si="29"/>
        <v>date</v>
      </c>
      <c r="M86" t="str">
        <f>INDEX($T$32:$T$47,MATCH(L86,$S$32:$S$47,0))</f>
        <v>abap.dats;</v>
      </c>
      <c r="O86" t="str">
        <f t="shared" si="10"/>
        <v xml:space="preserve">  debit_note_posted_on    : abap.dats;</v>
      </c>
    </row>
    <row r="87" spans="5:15" x14ac:dyDescent="0.25">
      <c r="E87" s="1" t="s">
        <v>76</v>
      </c>
      <c r="F87" s="1" t="s">
        <v>478</v>
      </c>
      <c r="G87" t="str">
        <f t="shared" si="25"/>
        <v>isgstr3bfiled</v>
      </c>
      <c r="H87" s="1" t="s">
        <v>180</v>
      </c>
      <c r="J87" t="str">
        <f t="shared" si="26"/>
        <v>debit_note_posted_at</v>
      </c>
      <c r="K87" t="s">
        <v>198</v>
      </c>
      <c r="L87" t="str">
        <f t="shared" si="29"/>
        <v>time</v>
      </c>
      <c r="M87" t="str">
        <f>INDEX($T$32:$T$47,MATCH(L87,$S$32:$S$47,0))</f>
        <v>abap.tims;</v>
      </c>
      <c r="O87" t="str">
        <f t="shared" si="10"/>
        <v xml:space="preserve">  debit_note_posted_at    : abap.tims;</v>
      </c>
    </row>
    <row r="88" spans="5:15" x14ac:dyDescent="0.25">
      <c r="E88" s="1" t="s">
        <v>77</v>
      </c>
      <c r="F88" s="1" t="s">
        <v>478</v>
      </c>
      <c r="G88" t="str">
        <f t="shared" si="25"/>
        <v>isgstr3bfildate</v>
      </c>
      <c r="H88" s="1" t="s">
        <v>181</v>
      </c>
      <c r="J88" t="str">
        <f t="shared" si="26"/>
        <v>debit_note_posted_by</v>
      </c>
      <c r="K88" t="s">
        <v>198</v>
      </c>
      <c r="L88" t="str">
        <f t="shared" si="29"/>
        <v>user</v>
      </c>
      <c r="M88" t="str">
        <f>INDEX($T$32:$T$47,MATCH(L88,$S$32:$S$47,0))</f>
        <v>abap.char(80);</v>
      </c>
      <c r="O88" t="str">
        <f t="shared" si="10"/>
        <v xml:space="preserve">  debit_note_posted_by    : abap.char(80);</v>
      </c>
    </row>
    <row r="89" spans="5:15" x14ac:dyDescent="0.25">
      <c r="E89" s="2"/>
      <c r="F89" s="2"/>
      <c r="G89" t="str">
        <f t="shared" si="25"/>
        <v/>
      </c>
      <c r="H89" s="1" t="s">
        <v>182</v>
      </c>
      <c r="J89" t="str">
        <f t="shared" si="26"/>
        <v>debit_note_comment</v>
      </c>
      <c r="K89" t="s">
        <v>198</v>
      </c>
      <c r="L89" t="str">
        <f t="shared" si="29"/>
        <v>comment</v>
      </c>
      <c r="M89" t="str">
        <f>INDEX($T$32:$T$47,MATCH(L89,$S$32:$S$47,0))</f>
        <v>abap.char(200);</v>
      </c>
      <c r="O89" t="str">
        <f t="shared" si="10"/>
        <v xml:space="preserve">  debit_note_comment      : abap.char(200);</v>
      </c>
    </row>
    <row r="90" spans="5:15" x14ac:dyDescent="0.25">
      <c r="E90" s="1" t="s">
        <v>78</v>
      </c>
      <c r="F90" s="1" t="s">
        <v>484</v>
      </c>
      <c r="G90" t="str">
        <f t="shared" si="25"/>
        <v>cpitcavailability</v>
      </c>
      <c r="H90" s="2"/>
      <c r="J90" t="str">
        <f t="shared" si="26"/>
        <v/>
      </c>
      <c r="K90" t="s">
        <v>198</v>
      </c>
      <c r="O90" t="str">
        <f t="shared" si="10"/>
        <v/>
      </c>
    </row>
    <row r="91" spans="5:15" x14ac:dyDescent="0.25">
      <c r="E91" s="1" t="s">
        <v>79</v>
      </c>
      <c r="F91" s="1" t="s">
        <v>484</v>
      </c>
      <c r="G91" t="str">
        <f t="shared" si="25"/>
        <v>cpreturnperiod</v>
      </c>
      <c r="H91" s="1" t="s">
        <v>183</v>
      </c>
      <c r="J91" t="str">
        <f t="shared" si="26"/>
        <v>debit_note_rev_comp</v>
      </c>
      <c r="K91" t="s">
        <v>198</v>
      </c>
      <c r="L91" t="str">
        <f t="shared" ref="L91" si="30">SUBSTITUTE(TRIM(RIGHT(SUBSTITUTE(TRIM(H91),"_",REPT(" ",100)),100)),";","")</f>
        <v>comp</v>
      </c>
      <c r="M91" t="str">
        <f>INDEX($T$32:$T$47,MATCH(L91,$S$32:$S$47,0))</f>
        <v>abap.char(4);</v>
      </c>
      <c r="O91" t="str">
        <f t="shared" si="10"/>
        <v xml:space="preserve">  debit_note_rev_comp     : abap.char(4);</v>
      </c>
    </row>
    <row r="92" spans="5:15" x14ac:dyDescent="0.25">
      <c r="E92" s="1" t="s">
        <v>80</v>
      </c>
      <c r="F92" s="1" t="s">
        <v>484</v>
      </c>
      <c r="G92" t="str">
        <f t="shared" si="25"/>
        <v>cpisamendment</v>
      </c>
      <c r="H92" s="1" t="s">
        <v>184</v>
      </c>
      <c r="J92" t="str">
        <f t="shared" si="26"/>
        <v>debit_note_rev_num</v>
      </c>
      <c r="K92" t="s">
        <v>198</v>
      </c>
      <c r="L92" t="str">
        <f t="shared" ref="L92:L97" si="31">SUBSTITUTE(TRIM(RIGHT(SUBSTITUTE(TRIM(H92),"_",REPT(" ",100)),100)),";","")</f>
        <v>num</v>
      </c>
      <c r="M92" t="str">
        <f>INDEX($T$32:$T$60,MATCH(L92,$S$32:$S$60,0))</f>
        <v>abap.numc(4);</v>
      </c>
      <c r="O92" t="str">
        <f t="shared" si="10"/>
        <v xml:space="preserve">  debit_note_rev_num      : abap.numc(4);</v>
      </c>
    </row>
    <row r="93" spans="5:15" x14ac:dyDescent="0.25">
      <c r="E93" s="1" t="s">
        <v>81</v>
      </c>
      <c r="F93" s="1" t="s">
        <v>484</v>
      </c>
      <c r="G93" t="str">
        <f t="shared" si="25"/>
        <v>cpavailableingstr2b</v>
      </c>
      <c r="H93" s="1" t="s">
        <v>185</v>
      </c>
      <c r="J93" t="str">
        <f t="shared" si="26"/>
        <v>debit_note_rev_year</v>
      </c>
      <c r="K93" t="s">
        <v>198</v>
      </c>
      <c r="L93" t="str">
        <f t="shared" si="31"/>
        <v>year</v>
      </c>
      <c r="M93" t="str">
        <f>INDEX($T$32:$T$47,MATCH(L93,$S$32:$S$47,0))</f>
        <v>abap.numc(4);</v>
      </c>
      <c r="O93" t="str">
        <f t="shared" ref="O93:O105" si="32">IFERROR(LEFT(H93,FIND(":",H93))&amp;" "&amp;M93,"")</f>
        <v xml:space="preserve">  debit_note_rev_year     : abap.numc(4);</v>
      </c>
    </row>
    <row r="94" spans="5:15" x14ac:dyDescent="0.25">
      <c r="E94" s="1" t="s">
        <v>82</v>
      </c>
      <c r="F94" s="1" t="s">
        <v>484</v>
      </c>
      <c r="G94" t="str">
        <f t="shared" si="25"/>
        <v>cpgstr2breturnperiod</v>
      </c>
      <c r="H94" s="1" t="s">
        <v>186</v>
      </c>
      <c r="J94" t="str">
        <f t="shared" si="26"/>
        <v>debit_note_reversed_on</v>
      </c>
      <c r="K94" t="s">
        <v>198</v>
      </c>
      <c r="L94" t="str">
        <f t="shared" si="31"/>
        <v>date</v>
      </c>
      <c r="M94" t="str">
        <f>INDEX($T$32:$T$47,MATCH(L94,$S$32:$S$47,0))</f>
        <v>abap.dats;</v>
      </c>
      <c r="O94" t="str">
        <f t="shared" si="32"/>
        <v xml:space="preserve">  debit_note_reversed_on  : abap.dats;</v>
      </c>
    </row>
    <row r="95" spans="5:15" x14ac:dyDescent="0.25">
      <c r="E95" s="1" t="s">
        <v>83</v>
      </c>
      <c r="F95" s="1" t="s">
        <v>484</v>
      </c>
      <c r="G95" t="str">
        <f t="shared" si="25"/>
        <v>cpavailableingstr98a</v>
      </c>
      <c r="H95" s="1" t="s">
        <v>187</v>
      </c>
      <c r="J95" t="str">
        <f t="shared" si="26"/>
        <v>debit_note_reversed_at</v>
      </c>
      <c r="K95" t="s">
        <v>198</v>
      </c>
      <c r="L95" t="str">
        <f t="shared" si="31"/>
        <v>time</v>
      </c>
      <c r="M95" t="str">
        <f>INDEX($T$32:$T$47,MATCH(L95,$S$32:$S$47,0))</f>
        <v>abap.tims;</v>
      </c>
      <c r="O95" t="str">
        <f t="shared" si="32"/>
        <v xml:space="preserve">  debit_note_reversed_at  : abap.tims;</v>
      </c>
    </row>
    <row r="96" spans="5:15" x14ac:dyDescent="0.25">
      <c r="E96" s="1" t="s">
        <v>84</v>
      </c>
      <c r="F96" s="1" t="s">
        <v>484</v>
      </c>
      <c r="G96" t="str">
        <f t="shared" si="25"/>
        <v>cpitcclaimmonth</v>
      </c>
      <c r="H96" s="1" t="s">
        <v>188</v>
      </c>
      <c r="J96" t="str">
        <f t="shared" si="26"/>
        <v>debit_note_reversed_by</v>
      </c>
      <c r="K96" t="s">
        <v>198</v>
      </c>
      <c r="L96" t="str">
        <f t="shared" si="31"/>
        <v>user</v>
      </c>
      <c r="M96" t="str">
        <f>INDEX($T$32:$T$47,MATCH(L96,$S$32:$S$47,0))</f>
        <v>abap.char(80);</v>
      </c>
      <c r="O96" t="str">
        <f t="shared" si="32"/>
        <v xml:space="preserve">  debit_note_reversed_by  : abap.char(80);</v>
      </c>
    </row>
    <row r="97" spans="5:15" x14ac:dyDescent="0.25">
      <c r="E97" s="2"/>
      <c r="F97" s="2"/>
      <c r="G97" t="str">
        <f t="shared" si="25"/>
        <v/>
      </c>
      <c r="H97" s="1" t="s">
        <v>189</v>
      </c>
      <c r="J97" t="str">
        <f t="shared" si="26"/>
        <v>debit_note_rev_comment</v>
      </c>
      <c r="K97" t="s">
        <v>198</v>
      </c>
      <c r="L97" t="str">
        <f t="shared" si="31"/>
        <v>comment</v>
      </c>
      <c r="M97" t="str">
        <f t="shared" ref="M97:M105" si="33">INDEX($T$32:$T$47,MATCH(L97,$S$32:$S$47,0))</f>
        <v>abap.char(200);</v>
      </c>
      <c r="O97" t="str">
        <f t="shared" si="32"/>
        <v xml:space="preserve">  debit_note_rev_comment  : abap.char(200);</v>
      </c>
    </row>
    <row r="98" spans="5:15" x14ac:dyDescent="0.25">
      <c r="E98" s="1" t="s">
        <v>85</v>
      </c>
      <c r="F98" s="1" t="s">
        <v>478</v>
      </c>
      <c r="G98" t="str">
        <f t="shared" si="25"/>
        <v>billfromlegalname</v>
      </c>
      <c r="H98" s="2"/>
      <c r="J98" t="str">
        <f t="shared" si="26"/>
        <v/>
      </c>
      <c r="K98" t="s">
        <v>198</v>
      </c>
      <c r="O98" t="str">
        <f t="shared" si="32"/>
        <v/>
      </c>
    </row>
    <row r="99" spans="5:15" x14ac:dyDescent="0.25">
      <c r="E99" s="1" t="s">
        <v>86</v>
      </c>
      <c r="F99" s="1" t="s">
        <v>478</v>
      </c>
      <c r="G99" t="str">
        <f t="shared" si="25"/>
        <v>billfromtradename</v>
      </c>
      <c r="H99" s="1" t="s">
        <v>190</v>
      </c>
      <c r="I99" t="s">
        <v>216</v>
      </c>
      <c r="J99" t="str">
        <f t="shared" si="26"/>
        <v>message</v>
      </c>
      <c r="K99" t="s">
        <v>198</v>
      </c>
      <c r="L99" t="str">
        <f t="shared" ref="L99" si="34">SUBSTITUTE(TRIM(RIGHT(SUBSTITUTE(TRIM(H99),"_",REPT(" ",100)),100)),";","")</f>
        <v>message</v>
      </c>
      <c r="M99" t="str">
        <f t="shared" si="33"/>
        <v>abap.char(200);</v>
      </c>
      <c r="O99" t="str">
        <f t="shared" si="32"/>
        <v xml:space="preserve">  message                 : abap.char(200);</v>
      </c>
    </row>
    <row r="100" spans="5:15" x14ac:dyDescent="0.25">
      <c r="E100" s="2"/>
      <c r="F100" s="2"/>
      <c r="G100" t="str">
        <f t="shared" si="25"/>
        <v/>
      </c>
      <c r="H100" s="2"/>
      <c r="J100" t="str">
        <f t="shared" si="26"/>
        <v/>
      </c>
      <c r="K100" t="s">
        <v>198</v>
      </c>
      <c r="O100" t="str">
        <f t="shared" si="32"/>
        <v/>
      </c>
    </row>
    <row r="101" spans="5:15" x14ac:dyDescent="0.25">
      <c r="E101" s="1" t="s">
        <v>87</v>
      </c>
      <c r="F101" s="1" t="s">
        <v>485</v>
      </c>
      <c r="G101" t="str">
        <f t="shared" si="25"/>
        <v>pos</v>
      </c>
      <c r="H101" s="1" t="s">
        <v>191</v>
      </c>
      <c r="J101" t="str">
        <f t="shared" si="26"/>
        <v>last_checked_on</v>
      </c>
      <c r="K101" t="s">
        <v>198</v>
      </c>
      <c r="L101" t="str">
        <f t="shared" ref="L101" si="35">SUBSTITUTE(TRIM(RIGHT(SUBSTITUTE(TRIM(H101),"_",REPT(" ",100)),100)),";","")</f>
        <v>date</v>
      </c>
      <c r="M101" t="str">
        <f t="shared" si="33"/>
        <v>abap.dats;</v>
      </c>
      <c r="O101" t="str">
        <f t="shared" si="32"/>
        <v xml:space="preserve">  last_checked_on         : abap.dats;</v>
      </c>
    </row>
    <row r="102" spans="5:15" x14ac:dyDescent="0.25">
      <c r="E102" s="1" t="s">
        <v>88</v>
      </c>
      <c r="F102" s="1" t="s">
        <v>486</v>
      </c>
      <c r="G102" t="str">
        <f t="shared" si="25"/>
        <v>reversecharge</v>
      </c>
      <c r="H102" s="1" t="s">
        <v>192</v>
      </c>
      <c r="J102" t="str">
        <f t="shared" si="26"/>
        <v>last_checked_at</v>
      </c>
      <c r="K102" t="s">
        <v>198</v>
      </c>
      <c r="L102" t="str">
        <f t="shared" ref="L102:L103" si="36">SUBSTITUTE(TRIM(RIGHT(SUBSTITUTE(TRIM(H102),"_",REPT(" ",100)),100)),";","")</f>
        <v>time</v>
      </c>
      <c r="M102" t="str">
        <f t="shared" si="33"/>
        <v>abap.tims;</v>
      </c>
      <c r="O102" t="str">
        <f t="shared" si="32"/>
        <v xml:space="preserve">  last_checked_at         : abap.tims;</v>
      </c>
    </row>
    <row r="103" spans="5:15" x14ac:dyDescent="0.25">
      <c r="E103" s="1" t="s">
        <v>89</v>
      </c>
      <c r="F103" s="1" t="s">
        <v>475</v>
      </c>
      <c r="G103" t="str">
        <f t="shared" si="25"/>
        <v>transactiontype</v>
      </c>
      <c r="H103" s="1" t="s">
        <v>193</v>
      </c>
      <c r="J103" t="str">
        <f t="shared" si="26"/>
        <v>last_checked_by</v>
      </c>
      <c r="K103" t="s">
        <v>198</v>
      </c>
      <c r="L103" t="str">
        <f t="shared" si="36"/>
        <v>user</v>
      </c>
      <c r="M103" t="str">
        <f t="shared" si="33"/>
        <v>abap.char(80);</v>
      </c>
      <c r="O103" t="str">
        <f t="shared" si="32"/>
        <v xml:space="preserve">  last_checked_by         : abap.char(80);</v>
      </c>
    </row>
    <row r="104" spans="5:15" x14ac:dyDescent="0.25">
      <c r="E104" s="1" t="s">
        <v>90</v>
      </c>
      <c r="F104" s="1" t="s">
        <v>487</v>
      </c>
      <c r="G104" t="str">
        <f t="shared" si="25"/>
        <v>taxpayertype</v>
      </c>
      <c r="H104" s="2"/>
      <c r="J104" t="str">
        <f t="shared" si="26"/>
        <v/>
      </c>
      <c r="K104" t="s">
        <v>198</v>
      </c>
      <c r="O104" t="str">
        <f t="shared" si="32"/>
        <v/>
      </c>
    </row>
    <row r="105" spans="5:15" x14ac:dyDescent="0.25">
      <c r="E105" s="2"/>
      <c r="F105" s="2"/>
      <c r="G105" t="str">
        <f t="shared" si="25"/>
        <v/>
      </c>
      <c r="H105" s="1" t="s">
        <v>194</v>
      </c>
      <c r="I105" t="s">
        <v>216</v>
      </c>
      <c r="J105" t="str">
        <f t="shared" si="26"/>
        <v>processing_options</v>
      </c>
      <c r="K105" t="s">
        <v>198</v>
      </c>
      <c r="L105" t="str">
        <f t="shared" ref="L105" si="37">SUBSTITUTE(TRIM(RIGHT(SUBSTITUTE(TRIM(H105),"_",REPT(" ",100)),100)),";","")</f>
        <v>opt</v>
      </c>
      <c r="M105" t="str">
        <f t="shared" si="33"/>
        <v>abap.char(200);</v>
      </c>
      <c r="O105" t="str">
        <f t="shared" si="32"/>
        <v xml:space="preserve">  processing_options      : abap.char(200);</v>
      </c>
    </row>
    <row r="106" spans="5:15" x14ac:dyDescent="0.25">
      <c r="E106" s="1" t="s">
        <v>119</v>
      </c>
      <c r="F106" s="1"/>
      <c r="G106" t="str">
        <f t="shared" si="25"/>
        <v/>
      </c>
      <c r="H106" s="2"/>
      <c r="J106" t="str">
        <f t="shared" si="26"/>
        <v/>
      </c>
      <c r="K106" t="s">
        <v>198</v>
      </c>
    </row>
    <row r="107" spans="5:15" x14ac:dyDescent="0.25">
      <c r="E107" s="1" t="s">
        <v>91</v>
      </c>
      <c r="F107" s="1" t="s">
        <v>479</v>
      </c>
      <c r="G107" t="str">
        <f t="shared" si="25"/>
        <v>cessamount</v>
      </c>
      <c r="H107" s="1" t="s">
        <v>195</v>
      </c>
      <c r="J107" t="str">
        <f t="shared" si="26"/>
        <v>wronggst</v>
      </c>
      <c r="K107" t="s">
        <v>198</v>
      </c>
    </row>
    <row r="108" spans="5:15" x14ac:dyDescent="0.25">
      <c r="E108" s="2"/>
      <c r="F108" s="2"/>
      <c r="G108" t="str">
        <f t="shared" si="25"/>
        <v/>
      </c>
      <c r="H108" s="1" t="s">
        <v>196</v>
      </c>
      <c r="I108" t="s">
        <v>208</v>
      </c>
      <c r="J108" t="str">
        <f t="shared" si="26"/>
        <v>gstin</v>
      </c>
      <c r="K108" t="s">
        <v>198</v>
      </c>
      <c r="M108" t="s">
        <v>471</v>
      </c>
    </row>
    <row r="109" spans="5:15" x14ac:dyDescent="0.25">
      <c r="E109" s="1" t="s">
        <v>92</v>
      </c>
      <c r="F109" s="1" t="s">
        <v>478</v>
      </c>
      <c r="G109" t="str">
        <f t="shared" si="25"/>
        <v>isamendment</v>
      </c>
      <c r="H109" s="1" t="s">
        <v>197</v>
      </c>
      <c r="J109" t="str">
        <f t="shared" si="26"/>
        <v>gstin_part</v>
      </c>
      <c r="K109" t="s">
        <v>198</v>
      </c>
    </row>
    <row r="110" spans="5:15" x14ac:dyDescent="0.25">
      <c r="E110" s="2"/>
      <c r="F110" s="2"/>
      <c r="G110" t="str">
        <f t="shared" si="25"/>
        <v/>
      </c>
      <c r="H110" s="1" t="s">
        <v>13</v>
      </c>
      <c r="I110" t="s">
        <v>221</v>
      </c>
      <c r="J110" t="str">
        <f t="shared" si="26"/>
        <v>documenttype</v>
      </c>
      <c r="K110" t="s">
        <v>198</v>
      </c>
      <c r="M110" t="s">
        <v>472</v>
      </c>
    </row>
    <row r="111" spans="5:15" x14ac:dyDescent="0.25">
      <c r="E111" s="1" t="s">
        <v>93</v>
      </c>
      <c r="F111" s="1" t="s">
        <v>478</v>
      </c>
      <c r="G111" t="str">
        <f t="shared" si="25"/>
        <v>custom2</v>
      </c>
      <c r="H111" s="1" t="s">
        <v>14</v>
      </c>
      <c r="I111" t="s">
        <v>222</v>
      </c>
      <c r="J111" t="str">
        <f t="shared" si="26"/>
        <v>remark</v>
      </c>
      <c r="K111" t="s">
        <v>198</v>
      </c>
      <c r="M111" t="s">
        <v>473</v>
      </c>
    </row>
    <row r="112" spans="5:15" x14ac:dyDescent="0.25">
      <c r="E112" s="1" t="s">
        <v>94</v>
      </c>
      <c r="F112" s="1" t="s">
        <v>478</v>
      </c>
      <c r="G112" t="str">
        <f t="shared" si="25"/>
        <v>custom3</v>
      </c>
      <c r="H112" s="1" t="s">
        <v>6</v>
      </c>
    </row>
    <row r="113" spans="5:7" x14ac:dyDescent="0.25">
      <c r="E113" s="1" t="s">
        <v>95</v>
      </c>
      <c r="F113" s="1" t="s">
        <v>478</v>
      </c>
      <c r="G113" t="str">
        <f t="shared" si="25"/>
        <v>custom5</v>
      </c>
    </row>
    <row r="114" spans="5:7" x14ac:dyDescent="0.25">
      <c r="E114" s="1" t="s">
        <v>96</v>
      </c>
      <c r="F114" s="1" t="s">
        <v>478</v>
      </c>
      <c r="G114" t="str">
        <f t="shared" si="25"/>
        <v>custom6</v>
      </c>
    </row>
    <row r="115" spans="5:7" x14ac:dyDescent="0.25">
      <c r="E115" s="1" t="s">
        <v>97</v>
      </c>
      <c r="F115" s="1" t="s">
        <v>478</v>
      </c>
      <c r="G115" t="str">
        <f t="shared" si="25"/>
        <v>custom7</v>
      </c>
    </row>
    <row r="116" spans="5:7" x14ac:dyDescent="0.25">
      <c r="E116" s="1" t="s">
        <v>98</v>
      </c>
      <c r="F116" s="1" t="s">
        <v>478</v>
      </c>
      <c r="G116" t="str">
        <f t="shared" si="25"/>
        <v>custom8</v>
      </c>
    </row>
    <row r="117" spans="5:7" x14ac:dyDescent="0.25">
      <c r="E117" s="1" t="s">
        <v>99</v>
      </c>
      <c r="F117" s="1" t="s">
        <v>478</v>
      </c>
      <c r="G117" t="str">
        <f t="shared" si="25"/>
        <v>custom10</v>
      </c>
    </row>
    <row r="118" spans="5:7" x14ac:dyDescent="0.25">
      <c r="E118" s="2"/>
      <c r="F118" s="2"/>
      <c r="G118" t="str">
        <f t="shared" si="25"/>
        <v/>
      </c>
    </row>
    <row r="119" spans="5:7" x14ac:dyDescent="0.25">
      <c r="E119" s="1" t="s">
        <v>100</v>
      </c>
      <c r="F119" s="1" t="s">
        <v>488</v>
      </c>
      <c r="G119" t="str">
        <f t="shared" si="25"/>
        <v>hsn</v>
      </c>
    </row>
    <row r="120" spans="5:7" x14ac:dyDescent="0.25">
      <c r="E120" s="1" t="s">
        <v>101</v>
      </c>
      <c r="F120" s="1" t="s">
        <v>485</v>
      </c>
      <c r="G120" t="str">
        <f t="shared" si="25"/>
        <v>itceligibility</v>
      </c>
    </row>
    <row r="121" spans="5:7" x14ac:dyDescent="0.25">
      <c r="E121" s="2"/>
      <c r="F121" s="2"/>
      <c r="G121" t="str">
        <f t="shared" si="25"/>
        <v/>
      </c>
    </row>
    <row r="122" spans="5:7" x14ac:dyDescent="0.25">
      <c r="E122" s="1" t="s">
        <v>119</v>
      </c>
      <c r="F122" s="1"/>
      <c r="G122" t="str">
        <f t="shared" si="25"/>
        <v/>
      </c>
    </row>
    <row r="123" spans="5:7" x14ac:dyDescent="0.25">
      <c r="E123" s="1" t="s">
        <v>102</v>
      </c>
      <c r="F123" s="1" t="s">
        <v>479</v>
      </c>
      <c r="G123" t="str">
        <f t="shared" si="25"/>
        <v>itcigstamount</v>
      </c>
    </row>
    <row r="124" spans="5:7" x14ac:dyDescent="0.25">
      <c r="E124" s="2"/>
      <c r="F124" s="2"/>
      <c r="G124" t="str">
        <f t="shared" si="25"/>
        <v/>
      </c>
    </row>
    <row r="125" spans="5:7" x14ac:dyDescent="0.25">
      <c r="E125" s="1" t="s">
        <v>119</v>
      </c>
      <c r="F125" s="1"/>
      <c r="G125" t="str">
        <f t="shared" si="25"/>
        <v/>
      </c>
    </row>
    <row r="126" spans="5:7" x14ac:dyDescent="0.25">
      <c r="E126" s="1" t="s">
        <v>103</v>
      </c>
      <c r="F126" s="1" t="s">
        <v>479</v>
      </c>
      <c r="G126" t="str">
        <f t="shared" si="25"/>
        <v>itccgstamount</v>
      </c>
    </row>
    <row r="127" spans="5:7" x14ac:dyDescent="0.25">
      <c r="E127" s="2"/>
      <c r="F127" s="2"/>
      <c r="G127" t="str">
        <f t="shared" si="25"/>
        <v/>
      </c>
    </row>
    <row r="128" spans="5:7" x14ac:dyDescent="0.25">
      <c r="E128" s="1" t="s">
        <v>119</v>
      </c>
      <c r="F128" s="1"/>
      <c r="G128" t="str">
        <f t="shared" si="25"/>
        <v/>
      </c>
    </row>
    <row r="129" spans="5:7" x14ac:dyDescent="0.25">
      <c r="E129" s="1" t="s">
        <v>104</v>
      </c>
      <c r="F129" s="1" t="s">
        <v>479</v>
      </c>
      <c r="G129" t="str">
        <f t="shared" si="25"/>
        <v>itcsgstamount</v>
      </c>
    </row>
    <row r="130" spans="5:7" x14ac:dyDescent="0.25">
      <c r="E130" s="2"/>
      <c r="F130" s="2"/>
      <c r="G130" t="str">
        <f t="shared" si="25"/>
        <v/>
      </c>
    </row>
    <row r="131" spans="5:7" x14ac:dyDescent="0.25">
      <c r="E131" s="1" t="s">
        <v>119</v>
      </c>
      <c r="F131" s="1"/>
      <c r="G131" t="str">
        <f t="shared" si="25"/>
        <v/>
      </c>
    </row>
    <row r="132" spans="5:7" x14ac:dyDescent="0.25">
      <c r="E132" s="1" t="s">
        <v>105</v>
      </c>
      <c r="F132" s="1" t="s">
        <v>479</v>
      </c>
      <c r="G132" t="str">
        <f t="shared" si="25"/>
        <v>itccessamount</v>
      </c>
    </row>
    <row r="133" spans="5:7" x14ac:dyDescent="0.25">
      <c r="E133" s="2"/>
      <c r="F133" s="2"/>
      <c r="G133" t="str">
        <f t="shared" si="25"/>
        <v/>
      </c>
    </row>
    <row r="134" spans="5:7" x14ac:dyDescent="0.25">
      <c r="E134" s="1" t="s">
        <v>106</v>
      </c>
      <c r="F134" s="1" t="s">
        <v>478</v>
      </c>
      <c r="G134" t="str">
        <f t="shared" si="25"/>
        <v>customitem3</v>
      </c>
    </row>
    <row r="135" spans="5:7" x14ac:dyDescent="0.25">
      <c r="E135" s="2"/>
      <c r="F135" s="2"/>
      <c r="G135" t="str">
        <f t="shared" si="25"/>
        <v/>
      </c>
    </row>
    <row r="136" spans="5:7" x14ac:dyDescent="0.25">
      <c r="E136" s="1" t="s">
        <v>113</v>
      </c>
      <c r="F136" s="1"/>
      <c r="G136" t="str">
        <f t="shared" si="25"/>
        <v/>
      </c>
    </row>
    <row r="137" spans="5:7" x14ac:dyDescent="0.25">
      <c r="E137" s="1" t="s">
        <v>107</v>
      </c>
      <c r="F137" s="1" t="s">
        <v>479</v>
      </c>
      <c r="G137" t="str">
        <f t="shared" si="25"/>
        <v>valuediff</v>
      </c>
    </row>
    <row r="138" spans="5:7" x14ac:dyDescent="0.25">
      <c r="E138" s="2"/>
      <c r="F138" s="2"/>
      <c r="G138" t="str">
        <f t="shared" ref="G138:G145" si="38">IF(ISNUMBER(SEARCH("@",IFERROR(TRIM(SUBSTITUTE(MID(E138,1,FIND(":",E138)-1),"key","")),""))),"",IFERROR(TRIM(SUBSTITUTE(MID(E138,1,FIND(":",E138)-1),"key","")),""))</f>
        <v/>
      </c>
    </row>
    <row r="139" spans="5:7" x14ac:dyDescent="0.25">
      <c r="E139" s="1" t="s">
        <v>113</v>
      </c>
      <c r="F139" s="1"/>
      <c r="G139" t="str">
        <f t="shared" si="38"/>
        <v/>
      </c>
    </row>
    <row r="140" spans="5:7" x14ac:dyDescent="0.25">
      <c r="E140" s="1" t="s">
        <v>108</v>
      </c>
      <c r="F140" s="1" t="s">
        <v>479</v>
      </c>
      <c r="G140" t="str">
        <f t="shared" si="38"/>
        <v>taxablediff</v>
      </c>
    </row>
    <row r="141" spans="5:7" x14ac:dyDescent="0.25">
      <c r="E141" s="2"/>
      <c r="F141" s="2"/>
      <c r="G141" t="str">
        <f t="shared" si="38"/>
        <v/>
      </c>
    </row>
    <row r="142" spans="5:7" x14ac:dyDescent="0.25">
      <c r="E142" s="1" t="s">
        <v>113</v>
      </c>
      <c r="F142" s="1"/>
      <c r="G142" t="str">
        <f t="shared" si="38"/>
        <v/>
      </c>
    </row>
    <row r="143" spans="5:7" x14ac:dyDescent="0.25">
      <c r="E143" s="1" t="s">
        <v>109</v>
      </c>
      <c r="F143" s="1" t="s">
        <v>479</v>
      </c>
      <c r="G143" t="str">
        <f t="shared" si="38"/>
        <v>taxdiff</v>
      </c>
    </row>
    <row r="144" spans="5:7" x14ac:dyDescent="0.25">
      <c r="E144" s="2"/>
      <c r="F144" s="2"/>
      <c r="G144" t="str">
        <f t="shared" si="38"/>
        <v/>
      </c>
    </row>
    <row r="145" spans="5:7" x14ac:dyDescent="0.25">
      <c r="E145" s="1" t="s">
        <v>110</v>
      </c>
      <c r="F145" s="1" t="s">
        <v>483</v>
      </c>
      <c r="G145" t="str">
        <f t="shared" si="38"/>
        <v>msme</v>
      </c>
    </row>
    <row r="146" spans="5:7" x14ac:dyDescent="0.25">
      <c r="E146" s="1" t="s">
        <v>6</v>
      </c>
      <c r="F14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1488-7A0E-40F8-816D-F1FDAB50B989}">
  <sheetPr>
    <tabColor rgb="FFFFFF00"/>
  </sheetPr>
  <dimension ref="C4:E233"/>
  <sheetViews>
    <sheetView topLeftCell="A2" workbookViewId="0">
      <selection activeCell="E4" sqref="E4"/>
    </sheetView>
  </sheetViews>
  <sheetFormatPr defaultRowHeight="15" x14ac:dyDescent="0.25"/>
  <cols>
    <col min="3" max="3" width="15.140625" bestFit="1" customWidth="1"/>
    <col min="4" max="4" width="32.85546875" bestFit="1" customWidth="1"/>
    <col min="5" max="5" width="16" bestFit="1" customWidth="1"/>
  </cols>
  <sheetData>
    <row r="4" spans="3:5" x14ac:dyDescent="0.25">
      <c r="C4" t="s">
        <v>805</v>
      </c>
      <c r="D4" t="s">
        <v>305</v>
      </c>
      <c r="E4" t="s">
        <v>473</v>
      </c>
    </row>
    <row r="5" spans="3:5" x14ac:dyDescent="0.25">
      <c r="C5" t="s">
        <v>805</v>
      </c>
      <c r="D5" t="s">
        <v>285</v>
      </c>
      <c r="E5" t="s">
        <v>771</v>
      </c>
    </row>
    <row r="6" spans="3:5" x14ac:dyDescent="0.25">
      <c r="C6" t="s">
        <v>805</v>
      </c>
      <c r="D6" t="s">
        <v>357</v>
      </c>
      <c r="E6" t="s">
        <v>473</v>
      </c>
    </row>
    <row r="7" spans="3:5" x14ac:dyDescent="0.25">
      <c r="C7" t="s">
        <v>805</v>
      </c>
      <c r="D7" t="s">
        <v>333</v>
      </c>
      <c r="E7" t="s">
        <v>792</v>
      </c>
    </row>
    <row r="8" spans="3:5" x14ac:dyDescent="0.25">
      <c r="C8" t="s">
        <v>805</v>
      </c>
      <c r="D8" t="s">
        <v>321</v>
      </c>
      <c r="E8" t="s">
        <v>788</v>
      </c>
    </row>
    <row r="9" spans="3:5" x14ac:dyDescent="0.25">
      <c r="C9" t="s">
        <v>805</v>
      </c>
      <c r="D9" t="s">
        <v>368</v>
      </c>
      <c r="E9" t="s">
        <v>799</v>
      </c>
    </row>
    <row r="10" spans="3:5" x14ac:dyDescent="0.25">
      <c r="C10" t="s">
        <v>805</v>
      </c>
      <c r="D10" t="s">
        <v>248</v>
      </c>
      <c r="E10" t="s">
        <v>473</v>
      </c>
    </row>
    <row r="11" spans="3:5" x14ac:dyDescent="0.25">
      <c r="C11" t="s">
        <v>805</v>
      </c>
      <c r="D11" t="s">
        <v>249</v>
      </c>
      <c r="E11" t="s">
        <v>473</v>
      </c>
    </row>
    <row r="12" spans="3:5" x14ac:dyDescent="0.25">
      <c r="C12" t="s">
        <v>805</v>
      </c>
      <c r="D12" t="s">
        <v>250</v>
      </c>
      <c r="E12" t="s">
        <v>473</v>
      </c>
    </row>
    <row r="13" spans="3:5" x14ac:dyDescent="0.25">
      <c r="C13" t="s">
        <v>805</v>
      </c>
      <c r="D13" t="s">
        <v>254</v>
      </c>
      <c r="E13" t="s">
        <v>473</v>
      </c>
    </row>
    <row r="14" spans="3:5" x14ac:dyDescent="0.25">
      <c r="C14" t="s">
        <v>805</v>
      </c>
      <c r="D14" t="s">
        <v>233</v>
      </c>
      <c r="E14" t="s">
        <v>471</v>
      </c>
    </row>
    <row r="15" spans="3:5" x14ac:dyDescent="0.25">
      <c r="C15" t="s">
        <v>805</v>
      </c>
      <c r="D15" t="s">
        <v>245</v>
      </c>
      <c r="E15" t="s">
        <v>473</v>
      </c>
    </row>
    <row r="16" spans="3:5" x14ac:dyDescent="0.25">
      <c r="C16" t="s">
        <v>805</v>
      </c>
      <c r="D16" t="s">
        <v>253</v>
      </c>
      <c r="E16" t="s">
        <v>794</v>
      </c>
    </row>
    <row r="17" spans="3:5" x14ac:dyDescent="0.25">
      <c r="C17" t="s">
        <v>805</v>
      </c>
      <c r="D17" t="s">
        <v>252</v>
      </c>
      <c r="E17" t="s">
        <v>785</v>
      </c>
    </row>
    <row r="18" spans="3:5" x14ac:dyDescent="0.25">
      <c r="C18" t="s">
        <v>805</v>
      </c>
      <c r="D18" t="s">
        <v>251</v>
      </c>
      <c r="E18" t="s">
        <v>793</v>
      </c>
    </row>
    <row r="19" spans="3:5" x14ac:dyDescent="0.25">
      <c r="C19" t="s">
        <v>805</v>
      </c>
      <c r="D19" t="s">
        <v>246</v>
      </c>
      <c r="E19" t="s">
        <v>473</v>
      </c>
    </row>
    <row r="20" spans="3:5" x14ac:dyDescent="0.25">
      <c r="C20" t="s">
        <v>805</v>
      </c>
      <c r="D20" t="s">
        <v>247</v>
      </c>
      <c r="E20" t="s">
        <v>473</v>
      </c>
    </row>
    <row r="21" spans="3:5" x14ac:dyDescent="0.25">
      <c r="C21" t="s">
        <v>805</v>
      </c>
      <c r="D21" t="s">
        <v>267</v>
      </c>
      <c r="E21" t="s">
        <v>473</v>
      </c>
    </row>
    <row r="22" spans="3:5" x14ac:dyDescent="0.25">
      <c r="C22" t="s">
        <v>805</v>
      </c>
      <c r="D22" t="s">
        <v>268</v>
      </c>
      <c r="E22" t="s">
        <v>473</v>
      </c>
    </row>
    <row r="23" spans="3:5" x14ac:dyDescent="0.25">
      <c r="C23" t="s">
        <v>805</v>
      </c>
      <c r="D23" t="s">
        <v>269</v>
      </c>
      <c r="E23" t="s">
        <v>473</v>
      </c>
    </row>
    <row r="24" spans="3:5" x14ac:dyDescent="0.25">
      <c r="C24" t="s">
        <v>805</v>
      </c>
      <c r="D24" t="s">
        <v>273</v>
      </c>
      <c r="E24" t="s">
        <v>473</v>
      </c>
    </row>
    <row r="25" spans="3:5" x14ac:dyDescent="0.25">
      <c r="C25" t="s">
        <v>805</v>
      </c>
      <c r="D25" t="s">
        <v>263</v>
      </c>
      <c r="E25" t="s">
        <v>471</v>
      </c>
    </row>
    <row r="26" spans="3:5" x14ac:dyDescent="0.25">
      <c r="C26" t="s">
        <v>805</v>
      </c>
      <c r="D26" t="s">
        <v>264</v>
      </c>
      <c r="E26" t="s">
        <v>473</v>
      </c>
    </row>
    <row r="27" spans="3:5" x14ac:dyDescent="0.25">
      <c r="C27" t="s">
        <v>805</v>
      </c>
      <c r="D27" t="s">
        <v>272</v>
      </c>
      <c r="E27" t="s">
        <v>794</v>
      </c>
    </row>
    <row r="28" spans="3:5" x14ac:dyDescent="0.25">
      <c r="C28" t="s">
        <v>805</v>
      </c>
      <c r="D28" t="s">
        <v>271</v>
      </c>
      <c r="E28" t="s">
        <v>785</v>
      </c>
    </row>
    <row r="29" spans="3:5" x14ac:dyDescent="0.25">
      <c r="C29" t="s">
        <v>805</v>
      </c>
      <c r="D29" t="s">
        <v>270</v>
      </c>
      <c r="E29" t="s">
        <v>793</v>
      </c>
    </row>
    <row r="30" spans="3:5" x14ac:dyDescent="0.25">
      <c r="C30" t="s">
        <v>805</v>
      </c>
      <c r="D30" t="s">
        <v>265</v>
      </c>
      <c r="E30" t="s">
        <v>473</v>
      </c>
    </row>
    <row r="31" spans="3:5" x14ac:dyDescent="0.25">
      <c r="C31" t="s">
        <v>805</v>
      </c>
      <c r="D31" t="s">
        <v>266</v>
      </c>
      <c r="E31" t="s">
        <v>792</v>
      </c>
    </row>
    <row r="32" spans="3:5" x14ac:dyDescent="0.25">
      <c r="C32" t="s">
        <v>805</v>
      </c>
      <c r="D32" t="s">
        <v>355</v>
      </c>
      <c r="E32" t="s">
        <v>792</v>
      </c>
    </row>
    <row r="33" spans="3:5" x14ac:dyDescent="0.25">
      <c r="C33" t="s">
        <v>805</v>
      </c>
      <c r="D33" t="s">
        <v>384</v>
      </c>
      <c r="E33" t="s">
        <v>771</v>
      </c>
    </row>
    <row r="34" spans="3:5" x14ac:dyDescent="0.25">
      <c r="C34" t="s">
        <v>805</v>
      </c>
      <c r="D34" t="s">
        <v>386</v>
      </c>
      <c r="E34" t="s">
        <v>771</v>
      </c>
    </row>
    <row r="35" spans="3:5" x14ac:dyDescent="0.25">
      <c r="C35" t="s">
        <v>805</v>
      </c>
      <c r="D35" t="s">
        <v>375</v>
      </c>
      <c r="E35" t="s">
        <v>773</v>
      </c>
    </row>
    <row r="36" spans="3:5" x14ac:dyDescent="0.25">
      <c r="C36" t="s">
        <v>805</v>
      </c>
      <c r="D36" t="s">
        <v>373</v>
      </c>
      <c r="E36" t="s">
        <v>773</v>
      </c>
    </row>
    <row r="37" spans="3:5" x14ac:dyDescent="0.25">
      <c r="C37" t="s">
        <v>805</v>
      </c>
      <c r="D37" t="s">
        <v>382</v>
      </c>
      <c r="E37" t="s">
        <v>771</v>
      </c>
    </row>
    <row r="38" spans="3:5" x14ac:dyDescent="0.25">
      <c r="C38" t="s">
        <v>805</v>
      </c>
      <c r="D38" t="s">
        <v>317</v>
      </c>
      <c r="E38" t="s">
        <v>788</v>
      </c>
    </row>
    <row r="39" spans="3:5" x14ac:dyDescent="0.25">
      <c r="C39" t="s">
        <v>805</v>
      </c>
      <c r="D39" t="s">
        <v>441</v>
      </c>
      <c r="E39" t="s">
        <v>792</v>
      </c>
    </row>
    <row r="40" spans="3:5" x14ac:dyDescent="0.25">
      <c r="C40" t="s">
        <v>805</v>
      </c>
      <c r="D40" t="s">
        <v>428</v>
      </c>
      <c r="E40" t="s">
        <v>802</v>
      </c>
    </row>
    <row r="41" spans="3:5" x14ac:dyDescent="0.25">
      <c r="C41" t="s">
        <v>805</v>
      </c>
      <c r="D41" t="s">
        <v>432</v>
      </c>
      <c r="E41" t="s">
        <v>802</v>
      </c>
    </row>
    <row r="42" spans="3:5" x14ac:dyDescent="0.25">
      <c r="C42" t="s">
        <v>805</v>
      </c>
      <c r="D42" t="s">
        <v>434</v>
      </c>
      <c r="E42" t="s">
        <v>802</v>
      </c>
    </row>
    <row r="43" spans="3:5" x14ac:dyDescent="0.25">
      <c r="C43" t="s">
        <v>805</v>
      </c>
      <c r="D43" t="s">
        <v>423</v>
      </c>
      <c r="E43" t="s">
        <v>802</v>
      </c>
    </row>
    <row r="44" spans="3:5" x14ac:dyDescent="0.25">
      <c r="C44" t="s">
        <v>805</v>
      </c>
      <c r="D44" t="s">
        <v>421</v>
      </c>
      <c r="E44" t="s">
        <v>802</v>
      </c>
    </row>
    <row r="45" spans="3:5" x14ac:dyDescent="0.25">
      <c r="C45" t="s">
        <v>805</v>
      </c>
      <c r="D45" t="s">
        <v>415</v>
      </c>
      <c r="E45" t="s">
        <v>802</v>
      </c>
    </row>
    <row r="46" spans="3:5" x14ac:dyDescent="0.25">
      <c r="C46" t="s">
        <v>805</v>
      </c>
      <c r="D46" t="s">
        <v>411</v>
      </c>
      <c r="E46" t="s">
        <v>802</v>
      </c>
    </row>
    <row r="47" spans="3:5" x14ac:dyDescent="0.25">
      <c r="C47" t="s">
        <v>805</v>
      </c>
      <c r="D47" t="s">
        <v>410</v>
      </c>
      <c r="E47" t="s">
        <v>787</v>
      </c>
    </row>
    <row r="48" spans="3:5" x14ac:dyDescent="0.25">
      <c r="C48" t="s">
        <v>805</v>
      </c>
      <c r="D48" t="s">
        <v>426</v>
      </c>
      <c r="E48" t="s">
        <v>802</v>
      </c>
    </row>
    <row r="49" spans="3:5" x14ac:dyDescent="0.25">
      <c r="C49" t="s">
        <v>805</v>
      </c>
      <c r="D49" t="s">
        <v>427</v>
      </c>
      <c r="E49" t="s">
        <v>785</v>
      </c>
    </row>
    <row r="50" spans="3:5" x14ac:dyDescent="0.25">
      <c r="C50" t="s">
        <v>805</v>
      </c>
      <c r="D50" t="s">
        <v>424</v>
      </c>
      <c r="E50" t="s">
        <v>802</v>
      </c>
    </row>
    <row r="51" spans="3:5" x14ac:dyDescent="0.25">
      <c r="C51" t="s">
        <v>805</v>
      </c>
      <c r="D51" t="s">
        <v>404</v>
      </c>
      <c r="E51" t="s">
        <v>787</v>
      </c>
    </row>
    <row r="52" spans="3:5" x14ac:dyDescent="0.25">
      <c r="C52" t="s">
        <v>805</v>
      </c>
      <c r="D52" t="s">
        <v>433</v>
      </c>
      <c r="E52" t="s">
        <v>802</v>
      </c>
    </row>
    <row r="53" spans="3:5" x14ac:dyDescent="0.25">
      <c r="C53" t="s">
        <v>805</v>
      </c>
      <c r="D53" t="s">
        <v>420</v>
      </c>
      <c r="E53" t="s">
        <v>802</v>
      </c>
    </row>
    <row r="54" spans="3:5" x14ac:dyDescent="0.25">
      <c r="C54" t="s">
        <v>805</v>
      </c>
      <c r="D54" t="s">
        <v>429</v>
      </c>
      <c r="E54" t="s">
        <v>803</v>
      </c>
    </row>
    <row r="55" spans="3:5" x14ac:dyDescent="0.25">
      <c r="C55" t="s">
        <v>805</v>
      </c>
      <c r="D55" t="s">
        <v>430</v>
      </c>
      <c r="E55" t="s">
        <v>802</v>
      </c>
    </row>
    <row r="56" spans="3:5" x14ac:dyDescent="0.25">
      <c r="C56" t="s">
        <v>805</v>
      </c>
      <c r="D56" t="s">
        <v>439</v>
      </c>
      <c r="E56" t="s">
        <v>802</v>
      </c>
    </row>
    <row r="57" spans="3:5" x14ac:dyDescent="0.25">
      <c r="C57" t="s">
        <v>805</v>
      </c>
      <c r="D57" t="s">
        <v>435</v>
      </c>
      <c r="E57" t="s">
        <v>802</v>
      </c>
    </row>
    <row r="58" spans="3:5" x14ac:dyDescent="0.25">
      <c r="C58" t="s">
        <v>805</v>
      </c>
      <c r="D58" t="s">
        <v>437</v>
      </c>
      <c r="E58" t="s">
        <v>802</v>
      </c>
    </row>
    <row r="59" spans="3:5" x14ac:dyDescent="0.25">
      <c r="C59" t="s">
        <v>805</v>
      </c>
      <c r="D59" t="s">
        <v>436</v>
      </c>
      <c r="E59" t="s">
        <v>802</v>
      </c>
    </row>
    <row r="60" spans="3:5" x14ac:dyDescent="0.25">
      <c r="C60" t="s">
        <v>805</v>
      </c>
      <c r="D60" t="s">
        <v>406</v>
      </c>
      <c r="E60" t="s">
        <v>802</v>
      </c>
    </row>
    <row r="61" spans="3:5" x14ac:dyDescent="0.25">
      <c r="C61" t="s">
        <v>805</v>
      </c>
      <c r="D61" t="s">
        <v>408</v>
      </c>
      <c r="E61" t="s">
        <v>802</v>
      </c>
    </row>
    <row r="62" spans="3:5" x14ac:dyDescent="0.25">
      <c r="C62" t="s">
        <v>805</v>
      </c>
      <c r="D62" t="s">
        <v>407</v>
      </c>
      <c r="E62" t="s">
        <v>802</v>
      </c>
    </row>
    <row r="63" spans="3:5" x14ac:dyDescent="0.25">
      <c r="C63" t="s">
        <v>805</v>
      </c>
      <c r="D63" t="s">
        <v>440</v>
      </c>
      <c r="E63" t="s">
        <v>785</v>
      </c>
    </row>
    <row r="64" spans="3:5" x14ac:dyDescent="0.25">
      <c r="C64" t="s">
        <v>805</v>
      </c>
      <c r="D64" t="s">
        <v>409</v>
      </c>
      <c r="E64" t="s">
        <v>802</v>
      </c>
    </row>
    <row r="65" spans="3:5" x14ac:dyDescent="0.25">
      <c r="C65" t="s">
        <v>805</v>
      </c>
      <c r="D65" t="s">
        <v>413</v>
      </c>
      <c r="E65" t="s">
        <v>793</v>
      </c>
    </row>
    <row r="66" spans="3:5" x14ac:dyDescent="0.25">
      <c r="C66" t="s">
        <v>805</v>
      </c>
      <c r="D66" t="s">
        <v>419</v>
      </c>
      <c r="E66" t="s">
        <v>802</v>
      </c>
    </row>
    <row r="67" spans="3:5" x14ac:dyDescent="0.25">
      <c r="C67" t="s">
        <v>805</v>
      </c>
      <c r="D67" t="s">
        <v>431</v>
      </c>
      <c r="E67" t="s">
        <v>802</v>
      </c>
    </row>
    <row r="68" spans="3:5" x14ac:dyDescent="0.25">
      <c r="C68" t="s">
        <v>805</v>
      </c>
      <c r="D68" t="s">
        <v>438</v>
      </c>
      <c r="E68" t="s">
        <v>802</v>
      </c>
    </row>
    <row r="69" spans="3:5" x14ac:dyDescent="0.25">
      <c r="C69" t="s">
        <v>805</v>
      </c>
      <c r="D69" t="s">
        <v>414</v>
      </c>
      <c r="E69" t="s">
        <v>802</v>
      </c>
    </row>
    <row r="70" spans="3:5" x14ac:dyDescent="0.25">
      <c r="C70" t="s">
        <v>805</v>
      </c>
      <c r="D70" t="s">
        <v>422</v>
      </c>
      <c r="E70" t="s">
        <v>802</v>
      </c>
    </row>
    <row r="71" spans="3:5" x14ac:dyDescent="0.25">
      <c r="C71" t="s">
        <v>805</v>
      </c>
      <c r="D71" t="s">
        <v>425</v>
      </c>
      <c r="E71" t="s">
        <v>792</v>
      </c>
    </row>
    <row r="72" spans="3:5" x14ac:dyDescent="0.25">
      <c r="C72" t="s">
        <v>805</v>
      </c>
      <c r="D72" t="s">
        <v>418</v>
      </c>
      <c r="E72" t="s">
        <v>802</v>
      </c>
    </row>
    <row r="73" spans="3:5" x14ac:dyDescent="0.25">
      <c r="C73" t="s">
        <v>805</v>
      </c>
      <c r="D73" t="s">
        <v>417</v>
      </c>
      <c r="E73" t="s">
        <v>802</v>
      </c>
    </row>
    <row r="74" spans="3:5" x14ac:dyDescent="0.25">
      <c r="C74" t="s">
        <v>805</v>
      </c>
      <c r="D74" t="s">
        <v>405</v>
      </c>
      <c r="E74" t="s">
        <v>802</v>
      </c>
    </row>
    <row r="75" spans="3:5" x14ac:dyDescent="0.25">
      <c r="C75" t="s">
        <v>805</v>
      </c>
      <c r="D75" t="s">
        <v>416</v>
      </c>
      <c r="E75" t="s">
        <v>802</v>
      </c>
    </row>
    <row r="76" spans="3:5" x14ac:dyDescent="0.25">
      <c r="C76" t="s">
        <v>805</v>
      </c>
      <c r="D76" t="s">
        <v>412</v>
      </c>
      <c r="E76" t="s">
        <v>802</v>
      </c>
    </row>
    <row r="77" spans="3:5" x14ac:dyDescent="0.25">
      <c r="C77" t="s">
        <v>805</v>
      </c>
      <c r="D77" t="s">
        <v>297</v>
      </c>
      <c r="E77" t="s">
        <v>797</v>
      </c>
    </row>
    <row r="78" spans="3:5" x14ac:dyDescent="0.25">
      <c r="C78" t="s">
        <v>805</v>
      </c>
      <c r="D78" t="s">
        <v>296</v>
      </c>
      <c r="E78" t="s">
        <v>791</v>
      </c>
    </row>
    <row r="79" spans="3:5" x14ac:dyDescent="0.25">
      <c r="C79" t="s">
        <v>805</v>
      </c>
      <c r="D79" t="s">
        <v>298</v>
      </c>
      <c r="E79" t="s">
        <v>792</v>
      </c>
    </row>
    <row r="80" spans="3:5" x14ac:dyDescent="0.25">
      <c r="C80" t="s">
        <v>805</v>
      </c>
      <c r="D80" t="s">
        <v>294</v>
      </c>
      <c r="E80" t="s">
        <v>473</v>
      </c>
    </row>
    <row r="81" spans="3:5" x14ac:dyDescent="0.25">
      <c r="C81" t="s">
        <v>805</v>
      </c>
      <c r="D81" t="s">
        <v>345</v>
      </c>
      <c r="E81" t="s">
        <v>473</v>
      </c>
    </row>
    <row r="82" spans="3:5" x14ac:dyDescent="0.25">
      <c r="C82" t="s">
        <v>805</v>
      </c>
      <c r="D82" t="s">
        <v>339</v>
      </c>
      <c r="E82" t="s">
        <v>473</v>
      </c>
    </row>
    <row r="83" spans="3:5" x14ac:dyDescent="0.25">
      <c r="C83" t="s">
        <v>805</v>
      </c>
      <c r="D83" t="s">
        <v>346</v>
      </c>
      <c r="E83" t="s">
        <v>473</v>
      </c>
    </row>
    <row r="84" spans="3:5" x14ac:dyDescent="0.25">
      <c r="C84" t="s">
        <v>805</v>
      </c>
      <c r="D84" t="s">
        <v>340</v>
      </c>
      <c r="E84" t="s">
        <v>473</v>
      </c>
    </row>
    <row r="85" spans="3:5" x14ac:dyDescent="0.25">
      <c r="C85" t="s">
        <v>805</v>
      </c>
      <c r="D85" t="s">
        <v>341</v>
      </c>
      <c r="E85" t="s">
        <v>473</v>
      </c>
    </row>
    <row r="86" spans="3:5" x14ac:dyDescent="0.25">
      <c r="C86" t="s">
        <v>805</v>
      </c>
      <c r="D86" t="s">
        <v>342</v>
      </c>
      <c r="E86" t="s">
        <v>473</v>
      </c>
    </row>
    <row r="87" spans="3:5" x14ac:dyDescent="0.25">
      <c r="C87" t="s">
        <v>805</v>
      </c>
      <c r="D87" t="s">
        <v>343</v>
      </c>
      <c r="E87" t="s">
        <v>473</v>
      </c>
    </row>
    <row r="88" spans="3:5" x14ac:dyDescent="0.25">
      <c r="C88" t="s">
        <v>805</v>
      </c>
      <c r="D88" t="s">
        <v>344</v>
      </c>
      <c r="E88" t="s">
        <v>473</v>
      </c>
    </row>
    <row r="89" spans="3:5" x14ac:dyDescent="0.25">
      <c r="C89" t="s">
        <v>805</v>
      </c>
      <c r="D89" t="s">
        <v>394</v>
      </c>
      <c r="E89" t="s">
        <v>473</v>
      </c>
    </row>
    <row r="90" spans="3:5" x14ac:dyDescent="0.25">
      <c r="C90" t="s">
        <v>805</v>
      </c>
      <c r="D90" t="s">
        <v>403</v>
      </c>
      <c r="E90" t="s">
        <v>473</v>
      </c>
    </row>
    <row r="91" spans="3:5" x14ac:dyDescent="0.25">
      <c r="C91" t="s">
        <v>805</v>
      </c>
      <c r="D91" t="s">
        <v>395</v>
      </c>
      <c r="E91" t="s">
        <v>473</v>
      </c>
    </row>
    <row r="92" spans="3:5" x14ac:dyDescent="0.25">
      <c r="C92" t="s">
        <v>805</v>
      </c>
      <c r="D92" t="s">
        <v>396</v>
      </c>
      <c r="E92" t="s">
        <v>473</v>
      </c>
    </row>
    <row r="93" spans="3:5" x14ac:dyDescent="0.25">
      <c r="C93" t="s">
        <v>805</v>
      </c>
      <c r="D93" t="s">
        <v>397</v>
      </c>
      <c r="E93" t="s">
        <v>473</v>
      </c>
    </row>
    <row r="94" spans="3:5" x14ac:dyDescent="0.25">
      <c r="C94" t="s">
        <v>805</v>
      </c>
      <c r="D94" t="s">
        <v>398</v>
      </c>
      <c r="E94" t="s">
        <v>473</v>
      </c>
    </row>
    <row r="95" spans="3:5" x14ac:dyDescent="0.25">
      <c r="C95" t="s">
        <v>805</v>
      </c>
      <c r="D95" t="s">
        <v>399</v>
      </c>
      <c r="E95" t="s">
        <v>473</v>
      </c>
    </row>
    <row r="96" spans="3:5" x14ac:dyDescent="0.25">
      <c r="C96" t="s">
        <v>805</v>
      </c>
      <c r="D96" t="s">
        <v>400</v>
      </c>
      <c r="E96" t="s">
        <v>473</v>
      </c>
    </row>
    <row r="97" spans="3:5" x14ac:dyDescent="0.25">
      <c r="C97" t="s">
        <v>805</v>
      </c>
      <c r="D97" t="s">
        <v>401</v>
      </c>
      <c r="E97" t="s">
        <v>473</v>
      </c>
    </row>
    <row r="98" spans="3:5" x14ac:dyDescent="0.25">
      <c r="C98" t="s">
        <v>805</v>
      </c>
      <c r="D98" t="s">
        <v>402</v>
      </c>
      <c r="E98" t="s">
        <v>473</v>
      </c>
    </row>
    <row r="99" spans="3:5" x14ac:dyDescent="0.25">
      <c r="C99" t="s">
        <v>805</v>
      </c>
      <c r="D99" t="s">
        <v>367</v>
      </c>
      <c r="E99" t="s">
        <v>473</v>
      </c>
    </row>
    <row r="100" spans="3:5" x14ac:dyDescent="0.25">
      <c r="C100" t="s">
        <v>805</v>
      </c>
      <c r="D100" t="s">
        <v>308</v>
      </c>
      <c r="E100" t="s">
        <v>793</v>
      </c>
    </row>
    <row r="101" spans="3:5" x14ac:dyDescent="0.25">
      <c r="C101" t="s">
        <v>805</v>
      </c>
      <c r="D101" t="s">
        <v>315</v>
      </c>
      <c r="E101" t="s">
        <v>798</v>
      </c>
    </row>
    <row r="102" spans="3:5" x14ac:dyDescent="0.25">
      <c r="C102" t="s">
        <v>805</v>
      </c>
      <c r="D102" t="s">
        <v>295</v>
      </c>
      <c r="E102" t="s">
        <v>792</v>
      </c>
    </row>
    <row r="103" spans="3:5" x14ac:dyDescent="0.25">
      <c r="C103" t="s">
        <v>805</v>
      </c>
      <c r="D103" t="s">
        <v>377</v>
      </c>
      <c r="E103" t="s">
        <v>773</v>
      </c>
    </row>
    <row r="104" spans="3:5" x14ac:dyDescent="0.25">
      <c r="C104" t="s">
        <v>805</v>
      </c>
      <c r="D104" t="s">
        <v>258</v>
      </c>
      <c r="E104" t="s">
        <v>473</v>
      </c>
    </row>
    <row r="105" spans="3:5" x14ac:dyDescent="0.25">
      <c r="C105" t="s">
        <v>805</v>
      </c>
      <c r="D105" t="s">
        <v>259</v>
      </c>
      <c r="E105" t="s">
        <v>473</v>
      </c>
    </row>
    <row r="106" spans="3:5" x14ac:dyDescent="0.25">
      <c r="C106" t="s">
        <v>805</v>
      </c>
      <c r="D106" t="s">
        <v>260</v>
      </c>
      <c r="E106" t="s">
        <v>473</v>
      </c>
    </row>
    <row r="107" spans="3:5" x14ac:dyDescent="0.25">
      <c r="C107" t="s">
        <v>805</v>
      </c>
      <c r="D107" t="s">
        <v>255</v>
      </c>
      <c r="E107" t="s">
        <v>471</v>
      </c>
    </row>
    <row r="108" spans="3:5" x14ac:dyDescent="0.25">
      <c r="C108" t="s">
        <v>805</v>
      </c>
      <c r="D108" t="s">
        <v>262</v>
      </c>
      <c r="E108" t="s">
        <v>785</v>
      </c>
    </row>
    <row r="109" spans="3:5" x14ac:dyDescent="0.25">
      <c r="C109" t="s">
        <v>805</v>
      </c>
      <c r="D109" t="s">
        <v>261</v>
      </c>
      <c r="E109" t="s">
        <v>793</v>
      </c>
    </row>
    <row r="110" spans="3:5" x14ac:dyDescent="0.25">
      <c r="C110" t="s">
        <v>805</v>
      </c>
      <c r="D110" t="s">
        <v>256</v>
      </c>
      <c r="E110" t="s">
        <v>473</v>
      </c>
    </row>
    <row r="111" spans="3:5" x14ac:dyDescent="0.25">
      <c r="C111" t="s">
        <v>805</v>
      </c>
      <c r="D111" t="s">
        <v>257</v>
      </c>
      <c r="E111" t="s">
        <v>473</v>
      </c>
    </row>
    <row r="112" spans="3:5" x14ac:dyDescent="0.25">
      <c r="C112" t="s">
        <v>805</v>
      </c>
      <c r="D112" t="s">
        <v>307</v>
      </c>
      <c r="E112" t="s">
        <v>786</v>
      </c>
    </row>
    <row r="113" spans="3:5" x14ac:dyDescent="0.25">
      <c r="C113" t="s">
        <v>805</v>
      </c>
      <c r="D113" t="s">
        <v>227</v>
      </c>
      <c r="E113" t="s">
        <v>770</v>
      </c>
    </row>
    <row r="114" spans="3:5" x14ac:dyDescent="0.25">
      <c r="C114" t="s">
        <v>805</v>
      </c>
      <c r="D114" t="s">
        <v>311</v>
      </c>
      <c r="E114" t="s">
        <v>786</v>
      </c>
    </row>
    <row r="115" spans="3:5" x14ac:dyDescent="0.25">
      <c r="C115" t="s">
        <v>805</v>
      </c>
      <c r="D115" t="s">
        <v>226</v>
      </c>
      <c r="E115" t="s">
        <v>786</v>
      </c>
    </row>
    <row r="116" spans="3:5" x14ac:dyDescent="0.25">
      <c r="C116" t="s">
        <v>805</v>
      </c>
      <c r="D116" t="s">
        <v>312</v>
      </c>
      <c r="E116" t="s">
        <v>786</v>
      </c>
    </row>
    <row r="117" spans="3:5" x14ac:dyDescent="0.25">
      <c r="C117" t="s">
        <v>805</v>
      </c>
      <c r="D117" t="s">
        <v>244</v>
      </c>
      <c r="E117" t="s">
        <v>792</v>
      </c>
    </row>
    <row r="118" spans="3:5" x14ac:dyDescent="0.25">
      <c r="C118" t="s">
        <v>805</v>
      </c>
      <c r="D118" t="s">
        <v>231</v>
      </c>
      <c r="E118" t="s">
        <v>472</v>
      </c>
    </row>
    <row r="119" spans="3:5" x14ac:dyDescent="0.25">
      <c r="C119" t="s">
        <v>805</v>
      </c>
      <c r="D119" t="s">
        <v>310</v>
      </c>
      <c r="E119" t="s">
        <v>771</v>
      </c>
    </row>
    <row r="120" spans="3:5" x14ac:dyDescent="0.25">
      <c r="C120" t="s">
        <v>805</v>
      </c>
      <c r="D120" t="s">
        <v>313</v>
      </c>
      <c r="E120" t="s">
        <v>771</v>
      </c>
    </row>
    <row r="121" spans="3:5" x14ac:dyDescent="0.25">
      <c r="C121" t="s">
        <v>805</v>
      </c>
      <c r="D121" t="s">
        <v>360</v>
      </c>
      <c r="E121" t="s">
        <v>473</v>
      </c>
    </row>
    <row r="122" spans="3:5" x14ac:dyDescent="0.25">
      <c r="C122" t="s">
        <v>805</v>
      </c>
      <c r="D122" t="s">
        <v>361</v>
      </c>
      <c r="E122" t="s">
        <v>473</v>
      </c>
    </row>
    <row r="123" spans="3:5" x14ac:dyDescent="0.25">
      <c r="C123" t="s">
        <v>805</v>
      </c>
      <c r="D123" t="s">
        <v>362</v>
      </c>
      <c r="E123" t="s">
        <v>473</v>
      </c>
    </row>
    <row r="124" spans="3:5" x14ac:dyDescent="0.25">
      <c r="C124" t="s">
        <v>805</v>
      </c>
      <c r="D124" t="s">
        <v>228</v>
      </c>
      <c r="E124" t="s">
        <v>785</v>
      </c>
    </row>
    <row r="125" spans="3:5" x14ac:dyDescent="0.25">
      <c r="C125" t="s">
        <v>805</v>
      </c>
      <c r="D125" t="s">
        <v>371</v>
      </c>
      <c r="E125" t="s">
        <v>789</v>
      </c>
    </row>
    <row r="126" spans="3:5" x14ac:dyDescent="0.25">
      <c r="C126" t="s">
        <v>805</v>
      </c>
      <c r="D126" t="s">
        <v>378</v>
      </c>
      <c r="E126" t="s">
        <v>773</v>
      </c>
    </row>
    <row r="127" spans="3:5" x14ac:dyDescent="0.25">
      <c r="C127" t="s">
        <v>805</v>
      </c>
      <c r="D127" t="s">
        <v>352</v>
      </c>
      <c r="E127" t="s">
        <v>473</v>
      </c>
    </row>
    <row r="128" spans="3:5" x14ac:dyDescent="0.25">
      <c r="C128" t="s">
        <v>805</v>
      </c>
      <c r="D128" t="s">
        <v>364</v>
      </c>
      <c r="E128" t="s">
        <v>797</v>
      </c>
    </row>
    <row r="129" spans="3:5" x14ac:dyDescent="0.25">
      <c r="C129" t="s">
        <v>805</v>
      </c>
      <c r="D129" t="s">
        <v>293</v>
      </c>
      <c r="E129" t="s">
        <v>796</v>
      </c>
    </row>
    <row r="130" spans="3:5" x14ac:dyDescent="0.25">
      <c r="C130" t="s">
        <v>805</v>
      </c>
      <c r="D130" t="s">
        <v>381</v>
      </c>
      <c r="E130" t="s">
        <v>771</v>
      </c>
    </row>
    <row r="131" spans="3:5" x14ac:dyDescent="0.25">
      <c r="C131" t="s">
        <v>805</v>
      </c>
      <c r="D131" t="s">
        <v>303</v>
      </c>
      <c r="E131" t="s">
        <v>792</v>
      </c>
    </row>
    <row r="132" spans="3:5" x14ac:dyDescent="0.25">
      <c r="C132" t="s">
        <v>805</v>
      </c>
      <c r="D132" t="s">
        <v>302</v>
      </c>
      <c r="E132" t="s">
        <v>786</v>
      </c>
    </row>
    <row r="133" spans="3:5" x14ac:dyDescent="0.25">
      <c r="C133" t="s">
        <v>805</v>
      </c>
      <c r="D133" t="s">
        <v>238</v>
      </c>
      <c r="E133" t="s">
        <v>790</v>
      </c>
    </row>
    <row r="134" spans="3:5" x14ac:dyDescent="0.25">
      <c r="C134" t="s">
        <v>805</v>
      </c>
      <c r="D134" t="s">
        <v>334</v>
      </c>
      <c r="E134" t="s">
        <v>473</v>
      </c>
    </row>
    <row r="135" spans="3:5" x14ac:dyDescent="0.25">
      <c r="C135" t="s">
        <v>805</v>
      </c>
      <c r="D135" t="s">
        <v>335</v>
      </c>
      <c r="E135" t="s">
        <v>473</v>
      </c>
    </row>
    <row r="136" spans="3:5" x14ac:dyDescent="0.25">
      <c r="C136" t="s">
        <v>805</v>
      </c>
      <c r="D136" t="s">
        <v>336</v>
      </c>
      <c r="E136" t="s">
        <v>473</v>
      </c>
    </row>
    <row r="137" spans="3:5" x14ac:dyDescent="0.25">
      <c r="C137" t="s">
        <v>805</v>
      </c>
      <c r="D137" t="s">
        <v>359</v>
      </c>
      <c r="E137" t="s">
        <v>473</v>
      </c>
    </row>
    <row r="138" spans="3:5" x14ac:dyDescent="0.25">
      <c r="C138" t="s">
        <v>805</v>
      </c>
      <c r="D138" t="s">
        <v>358</v>
      </c>
      <c r="E138" t="s">
        <v>473</v>
      </c>
    </row>
    <row r="139" spans="3:5" x14ac:dyDescent="0.25">
      <c r="C139" t="s">
        <v>805</v>
      </c>
      <c r="D139" t="s">
        <v>356</v>
      </c>
      <c r="E139" t="s">
        <v>473</v>
      </c>
    </row>
    <row r="140" spans="3:5" x14ac:dyDescent="0.25">
      <c r="C140" t="s">
        <v>805</v>
      </c>
      <c r="D140" t="s">
        <v>363</v>
      </c>
      <c r="E140" t="s">
        <v>788</v>
      </c>
    </row>
    <row r="141" spans="3:5" x14ac:dyDescent="0.25">
      <c r="C141" t="s">
        <v>805</v>
      </c>
      <c r="D141" t="s">
        <v>337</v>
      </c>
      <c r="E141" t="s">
        <v>473</v>
      </c>
    </row>
    <row r="142" spans="3:5" x14ac:dyDescent="0.25">
      <c r="C142" t="s">
        <v>805</v>
      </c>
      <c r="D142" t="s">
        <v>393</v>
      </c>
      <c r="E142" t="s">
        <v>771</v>
      </c>
    </row>
    <row r="143" spans="3:5" x14ac:dyDescent="0.25">
      <c r="C143" t="s">
        <v>805</v>
      </c>
      <c r="D143" t="s">
        <v>391</v>
      </c>
      <c r="E143" t="s">
        <v>771</v>
      </c>
    </row>
    <row r="144" spans="3:5" x14ac:dyDescent="0.25">
      <c r="C144" t="s">
        <v>805</v>
      </c>
      <c r="D144" t="s">
        <v>240</v>
      </c>
      <c r="E144" t="s">
        <v>785</v>
      </c>
    </row>
    <row r="145" spans="3:5" x14ac:dyDescent="0.25">
      <c r="C145" t="s">
        <v>805</v>
      </c>
      <c r="D145" t="s">
        <v>389</v>
      </c>
      <c r="E145" t="s">
        <v>793</v>
      </c>
    </row>
    <row r="146" spans="3:5" x14ac:dyDescent="0.25">
      <c r="C146" t="s">
        <v>805</v>
      </c>
      <c r="D146" t="s">
        <v>390</v>
      </c>
      <c r="E146" t="s">
        <v>771</v>
      </c>
    </row>
    <row r="147" spans="3:5" x14ac:dyDescent="0.25">
      <c r="C147" t="s">
        <v>805</v>
      </c>
      <c r="D147" t="s">
        <v>392</v>
      </c>
      <c r="E147" t="s">
        <v>771</v>
      </c>
    </row>
    <row r="148" spans="3:5" x14ac:dyDescent="0.25">
      <c r="C148" t="s">
        <v>805</v>
      </c>
      <c r="D148" t="s">
        <v>338</v>
      </c>
      <c r="E148" t="s">
        <v>473</v>
      </c>
    </row>
    <row r="149" spans="3:5" x14ac:dyDescent="0.25">
      <c r="C149" t="s">
        <v>805</v>
      </c>
      <c r="D149" t="s">
        <v>332</v>
      </c>
      <c r="E149" t="s">
        <v>792</v>
      </c>
    </row>
    <row r="150" spans="3:5" x14ac:dyDescent="0.25">
      <c r="C150" t="s">
        <v>805</v>
      </c>
      <c r="D150" t="s">
        <v>331</v>
      </c>
      <c r="E150" t="s">
        <v>786</v>
      </c>
    </row>
    <row r="151" spans="3:5" x14ac:dyDescent="0.25">
      <c r="C151" t="s">
        <v>805</v>
      </c>
      <c r="D151" t="s">
        <v>330</v>
      </c>
      <c r="E151" t="s">
        <v>792</v>
      </c>
    </row>
    <row r="152" spans="3:5" x14ac:dyDescent="0.25">
      <c r="C152" t="s">
        <v>805</v>
      </c>
      <c r="D152" t="s">
        <v>329</v>
      </c>
      <c r="E152" t="s">
        <v>786</v>
      </c>
    </row>
    <row r="153" spans="3:5" x14ac:dyDescent="0.25">
      <c r="C153" t="s">
        <v>805</v>
      </c>
      <c r="D153" t="s">
        <v>778</v>
      </c>
      <c r="E153" t="s">
        <v>473</v>
      </c>
    </row>
    <row r="154" spans="3:5" x14ac:dyDescent="0.25">
      <c r="C154" t="s">
        <v>805</v>
      </c>
      <c r="D154" t="s">
        <v>779</v>
      </c>
      <c r="E154" t="s">
        <v>473</v>
      </c>
    </row>
    <row r="155" spans="3:5" x14ac:dyDescent="0.25">
      <c r="C155" t="s">
        <v>805</v>
      </c>
      <c r="D155" t="s">
        <v>780</v>
      </c>
      <c r="E155" t="s">
        <v>473</v>
      </c>
    </row>
    <row r="156" spans="3:5" x14ac:dyDescent="0.25">
      <c r="C156" t="s">
        <v>805</v>
      </c>
      <c r="D156" t="s">
        <v>777</v>
      </c>
      <c r="E156" t="s">
        <v>769</v>
      </c>
    </row>
    <row r="157" spans="3:5" x14ac:dyDescent="0.25">
      <c r="C157" t="s">
        <v>805</v>
      </c>
      <c r="D157" t="s">
        <v>239</v>
      </c>
      <c r="E157" t="s">
        <v>785</v>
      </c>
    </row>
    <row r="158" spans="3:5" x14ac:dyDescent="0.25">
      <c r="C158" t="s">
        <v>805</v>
      </c>
      <c r="D158" t="s">
        <v>225</v>
      </c>
      <c r="E158" t="s">
        <v>471</v>
      </c>
    </row>
    <row r="159" spans="3:5" x14ac:dyDescent="0.25">
      <c r="C159" t="s">
        <v>805</v>
      </c>
      <c r="D159" t="s">
        <v>237</v>
      </c>
      <c r="E159" t="s">
        <v>473</v>
      </c>
    </row>
    <row r="160" spans="3:5" x14ac:dyDescent="0.25">
      <c r="C160" t="s">
        <v>805</v>
      </c>
      <c r="D160" t="s">
        <v>349</v>
      </c>
      <c r="E160" t="s">
        <v>772</v>
      </c>
    </row>
    <row r="161" spans="3:5" x14ac:dyDescent="0.25">
      <c r="C161" t="s">
        <v>805</v>
      </c>
      <c r="D161" t="s">
        <v>348</v>
      </c>
      <c r="E161" t="s">
        <v>797</v>
      </c>
    </row>
    <row r="162" spans="3:5" x14ac:dyDescent="0.25">
      <c r="C162" t="s">
        <v>805</v>
      </c>
      <c r="D162" t="s">
        <v>234</v>
      </c>
      <c r="E162" t="s">
        <v>473</v>
      </c>
    </row>
    <row r="163" spans="3:5" x14ac:dyDescent="0.25">
      <c r="C163" t="s">
        <v>805</v>
      </c>
      <c r="D163" t="s">
        <v>366</v>
      </c>
      <c r="E163" t="s">
        <v>471</v>
      </c>
    </row>
    <row r="164" spans="3:5" x14ac:dyDescent="0.25">
      <c r="C164" t="s">
        <v>805</v>
      </c>
      <c r="D164" t="s">
        <v>347</v>
      </c>
      <c r="E164" t="s">
        <v>473</v>
      </c>
    </row>
    <row r="165" spans="3:5" x14ac:dyDescent="0.25">
      <c r="C165" t="s">
        <v>805</v>
      </c>
      <c r="D165" t="s">
        <v>324</v>
      </c>
      <c r="E165" t="s">
        <v>792</v>
      </c>
    </row>
    <row r="166" spans="3:5" x14ac:dyDescent="0.25">
      <c r="C166" t="s">
        <v>805</v>
      </c>
      <c r="D166" t="s">
        <v>323</v>
      </c>
      <c r="E166" t="s">
        <v>786</v>
      </c>
    </row>
    <row r="167" spans="3:5" x14ac:dyDescent="0.25">
      <c r="C167" t="s">
        <v>805</v>
      </c>
      <c r="D167" t="s">
        <v>325</v>
      </c>
      <c r="E167" t="s">
        <v>785</v>
      </c>
    </row>
    <row r="168" spans="3:5" x14ac:dyDescent="0.25">
      <c r="C168" t="s">
        <v>805</v>
      </c>
      <c r="D168" t="s">
        <v>322</v>
      </c>
      <c r="E168" t="s">
        <v>793</v>
      </c>
    </row>
    <row r="169" spans="3:5" x14ac:dyDescent="0.25">
      <c r="C169" t="s">
        <v>805</v>
      </c>
      <c r="D169" t="s">
        <v>326</v>
      </c>
      <c r="E169" t="s">
        <v>771</v>
      </c>
    </row>
    <row r="170" spans="3:5" x14ac:dyDescent="0.25">
      <c r="C170" t="s">
        <v>805</v>
      </c>
      <c r="D170" t="s">
        <v>379</v>
      </c>
      <c r="E170" t="s">
        <v>800</v>
      </c>
    </row>
    <row r="171" spans="3:5" x14ac:dyDescent="0.25">
      <c r="C171" t="s">
        <v>805</v>
      </c>
      <c r="D171" t="s">
        <v>784</v>
      </c>
      <c r="E171" t="s">
        <v>775</v>
      </c>
    </row>
    <row r="172" spans="3:5" x14ac:dyDescent="0.25">
      <c r="C172" t="s">
        <v>805</v>
      </c>
      <c r="D172" t="s">
        <v>783</v>
      </c>
      <c r="E172" t="s">
        <v>775</v>
      </c>
    </row>
    <row r="173" spans="3:5" x14ac:dyDescent="0.25">
      <c r="C173" t="s">
        <v>805</v>
      </c>
      <c r="D173" t="s">
        <v>782</v>
      </c>
      <c r="E173" t="s">
        <v>775</v>
      </c>
    </row>
    <row r="174" spans="3:5" x14ac:dyDescent="0.25">
      <c r="C174" t="s">
        <v>805</v>
      </c>
      <c r="D174" t="s">
        <v>291</v>
      </c>
      <c r="E174" t="s">
        <v>795</v>
      </c>
    </row>
    <row r="175" spans="3:5" x14ac:dyDescent="0.25">
      <c r="C175" t="s">
        <v>805</v>
      </c>
      <c r="D175" t="s">
        <v>290</v>
      </c>
      <c r="E175" t="s">
        <v>473</v>
      </c>
    </row>
    <row r="176" spans="3:5" x14ac:dyDescent="0.25">
      <c r="C176" t="s">
        <v>805</v>
      </c>
      <c r="D176" t="s">
        <v>284</v>
      </c>
      <c r="E176" t="s">
        <v>771</v>
      </c>
    </row>
    <row r="177" spans="3:5" x14ac:dyDescent="0.25">
      <c r="C177" t="s">
        <v>805</v>
      </c>
      <c r="D177" t="s">
        <v>292</v>
      </c>
      <c r="E177" t="s">
        <v>771</v>
      </c>
    </row>
    <row r="178" spans="3:5" x14ac:dyDescent="0.25">
      <c r="C178" t="s">
        <v>805</v>
      </c>
      <c r="D178" t="s">
        <v>286</v>
      </c>
      <c r="E178" t="s">
        <v>792</v>
      </c>
    </row>
    <row r="179" spans="3:5" x14ac:dyDescent="0.25">
      <c r="C179" t="s">
        <v>805</v>
      </c>
      <c r="D179" t="s">
        <v>289</v>
      </c>
      <c r="E179" t="s">
        <v>792</v>
      </c>
    </row>
    <row r="180" spans="3:5" x14ac:dyDescent="0.25">
      <c r="C180" t="s">
        <v>805</v>
      </c>
      <c r="D180" t="s">
        <v>283</v>
      </c>
      <c r="E180" t="s">
        <v>795</v>
      </c>
    </row>
    <row r="181" spans="3:5" x14ac:dyDescent="0.25">
      <c r="C181" t="s">
        <v>805</v>
      </c>
      <c r="D181" t="s">
        <v>287</v>
      </c>
      <c r="E181" t="s">
        <v>473</v>
      </c>
    </row>
    <row r="182" spans="3:5" x14ac:dyDescent="0.25">
      <c r="C182" t="s">
        <v>805</v>
      </c>
      <c r="D182" t="s">
        <v>288</v>
      </c>
      <c r="E182" t="s">
        <v>473</v>
      </c>
    </row>
    <row r="183" spans="3:5" x14ac:dyDescent="0.25">
      <c r="C183" t="s">
        <v>805</v>
      </c>
      <c r="D183" t="s">
        <v>282</v>
      </c>
      <c r="E183" t="s">
        <v>793</v>
      </c>
    </row>
    <row r="184" spans="3:5" x14ac:dyDescent="0.25">
      <c r="C184" t="s">
        <v>805</v>
      </c>
      <c r="D184" t="s">
        <v>320</v>
      </c>
      <c r="E184" t="s">
        <v>786</v>
      </c>
    </row>
    <row r="185" spans="3:5" x14ac:dyDescent="0.25">
      <c r="C185" t="s">
        <v>805</v>
      </c>
      <c r="D185" t="s">
        <v>306</v>
      </c>
      <c r="E185" t="s">
        <v>792</v>
      </c>
    </row>
    <row r="186" spans="3:5" x14ac:dyDescent="0.25">
      <c r="C186" t="s">
        <v>805</v>
      </c>
      <c r="D186" t="s">
        <v>309</v>
      </c>
      <c r="E186" t="s">
        <v>793</v>
      </c>
    </row>
    <row r="187" spans="3:5" x14ac:dyDescent="0.25">
      <c r="C187" t="s">
        <v>805</v>
      </c>
      <c r="D187" t="s">
        <v>376</v>
      </c>
      <c r="E187" t="s">
        <v>471</v>
      </c>
    </row>
    <row r="188" spans="3:5" x14ac:dyDescent="0.25">
      <c r="C188" t="s">
        <v>805</v>
      </c>
      <c r="D188" t="s">
        <v>365</v>
      </c>
      <c r="E188" t="s">
        <v>795</v>
      </c>
    </row>
    <row r="189" spans="3:5" x14ac:dyDescent="0.25">
      <c r="C189" t="s">
        <v>805</v>
      </c>
      <c r="D189" t="s">
        <v>236</v>
      </c>
      <c r="E189" t="s">
        <v>789</v>
      </c>
    </row>
    <row r="190" spans="3:5" x14ac:dyDescent="0.25">
      <c r="C190" t="s">
        <v>805</v>
      </c>
      <c r="D190" t="s">
        <v>354</v>
      </c>
      <c r="E190" t="s">
        <v>473</v>
      </c>
    </row>
    <row r="191" spans="3:5" x14ac:dyDescent="0.25">
      <c r="C191" t="s">
        <v>805</v>
      </c>
      <c r="D191" t="s">
        <v>350</v>
      </c>
      <c r="E191" t="s">
        <v>473</v>
      </c>
    </row>
    <row r="192" spans="3:5" x14ac:dyDescent="0.25">
      <c r="C192" t="s">
        <v>805</v>
      </c>
      <c r="D192" t="s">
        <v>351</v>
      </c>
      <c r="E192" t="s">
        <v>472</v>
      </c>
    </row>
    <row r="193" spans="3:5" x14ac:dyDescent="0.25">
      <c r="C193" t="s">
        <v>805</v>
      </c>
      <c r="D193" t="s">
        <v>370</v>
      </c>
      <c r="E193" t="s">
        <v>772</v>
      </c>
    </row>
    <row r="194" spans="3:5" x14ac:dyDescent="0.25">
      <c r="C194" t="s">
        <v>805</v>
      </c>
      <c r="D194" t="s">
        <v>372</v>
      </c>
      <c r="E194" t="s">
        <v>773</v>
      </c>
    </row>
    <row r="195" spans="3:5" x14ac:dyDescent="0.25">
      <c r="C195" t="s">
        <v>805</v>
      </c>
      <c r="D195" t="s">
        <v>445</v>
      </c>
      <c r="E195" t="s">
        <v>804</v>
      </c>
    </row>
    <row r="196" spans="3:5" x14ac:dyDescent="0.25">
      <c r="C196" t="s">
        <v>805</v>
      </c>
      <c r="D196" t="s">
        <v>446</v>
      </c>
      <c r="E196" t="s">
        <v>774</v>
      </c>
    </row>
    <row r="197" spans="3:5" x14ac:dyDescent="0.25">
      <c r="C197" t="s">
        <v>805</v>
      </c>
      <c r="D197" t="s">
        <v>447</v>
      </c>
      <c r="E197" t="s">
        <v>776</v>
      </c>
    </row>
    <row r="198" spans="3:5" x14ac:dyDescent="0.25">
      <c r="C198" t="s">
        <v>805</v>
      </c>
      <c r="D198" t="s">
        <v>353</v>
      </c>
      <c r="E198" t="s">
        <v>473</v>
      </c>
    </row>
    <row r="199" spans="3:5" x14ac:dyDescent="0.25">
      <c r="C199" t="s">
        <v>805</v>
      </c>
      <c r="D199" t="s">
        <v>304</v>
      </c>
      <c r="E199" t="s">
        <v>473</v>
      </c>
    </row>
    <row r="200" spans="3:5" x14ac:dyDescent="0.25">
      <c r="C200" t="s">
        <v>805</v>
      </c>
      <c r="D200" t="s">
        <v>301</v>
      </c>
      <c r="E200" t="s">
        <v>792</v>
      </c>
    </row>
    <row r="201" spans="3:5" x14ac:dyDescent="0.25">
      <c r="C201" t="s">
        <v>805</v>
      </c>
      <c r="D201" t="s">
        <v>300</v>
      </c>
      <c r="E201" t="s">
        <v>792</v>
      </c>
    </row>
    <row r="202" spans="3:5" x14ac:dyDescent="0.25">
      <c r="C202" t="s">
        <v>805</v>
      </c>
      <c r="D202" t="s">
        <v>299</v>
      </c>
      <c r="E202" t="s">
        <v>473</v>
      </c>
    </row>
    <row r="203" spans="3:5" x14ac:dyDescent="0.25">
      <c r="C203" t="s">
        <v>805</v>
      </c>
      <c r="D203" t="s">
        <v>319</v>
      </c>
      <c r="E203" t="s">
        <v>788</v>
      </c>
    </row>
    <row r="204" spans="3:5" x14ac:dyDescent="0.25">
      <c r="C204" t="s">
        <v>805</v>
      </c>
      <c r="D204" t="s">
        <v>224</v>
      </c>
      <c r="E204" t="s">
        <v>785</v>
      </c>
    </row>
    <row r="205" spans="3:5" x14ac:dyDescent="0.25">
      <c r="C205" t="s">
        <v>805</v>
      </c>
      <c r="D205" t="s">
        <v>316</v>
      </c>
      <c r="E205" t="s">
        <v>788</v>
      </c>
    </row>
    <row r="206" spans="3:5" x14ac:dyDescent="0.25">
      <c r="C206" t="s">
        <v>805</v>
      </c>
      <c r="D206" t="s">
        <v>314</v>
      </c>
      <c r="E206" t="s">
        <v>771</v>
      </c>
    </row>
    <row r="207" spans="3:5" x14ac:dyDescent="0.25">
      <c r="C207" t="s">
        <v>805</v>
      </c>
      <c r="D207" t="s">
        <v>232</v>
      </c>
      <c r="E207" t="s">
        <v>787</v>
      </c>
    </row>
    <row r="208" spans="3:5" x14ac:dyDescent="0.25">
      <c r="C208" t="s">
        <v>805</v>
      </c>
      <c r="D208" t="s">
        <v>383</v>
      </c>
      <c r="E208" t="s">
        <v>771</v>
      </c>
    </row>
    <row r="209" spans="3:5" x14ac:dyDescent="0.25">
      <c r="C209" t="s">
        <v>805</v>
      </c>
      <c r="D209" t="s">
        <v>278</v>
      </c>
      <c r="E209" t="s">
        <v>473</v>
      </c>
    </row>
    <row r="210" spans="3:5" x14ac:dyDescent="0.25">
      <c r="C210" t="s">
        <v>805</v>
      </c>
      <c r="D210" t="s">
        <v>279</v>
      </c>
      <c r="E210" t="s">
        <v>473</v>
      </c>
    </row>
    <row r="211" spans="3:5" x14ac:dyDescent="0.25">
      <c r="C211" t="s">
        <v>805</v>
      </c>
      <c r="D211" t="s">
        <v>280</v>
      </c>
      <c r="E211" t="s">
        <v>473</v>
      </c>
    </row>
    <row r="212" spans="3:5" x14ac:dyDescent="0.25">
      <c r="C212" t="s">
        <v>805</v>
      </c>
      <c r="D212" t="s">
        <v>274</v>
      </c>
      <c r="E212" t="s">
        <v>471</v>
      </c>
    </row>
    <row r="213" spans="3:5" x14ac:dyDescent="0.25">
      <c r="C213" t="s">
        <v>805</v>
      </c>
      <c r="D213" t="s">
        <v>275</v>
      </c>
      <c r="E213" t="s">
        <v>473</v>
      </c>
    </row>
    <row r="214" spans="3:5" x14ac:dyDescent="0.25">
      <c r="C214" t="s">
        <v>805</v>
      </c>
      <c r="D214" t="s">
        <v>281</v>
      </c>
      <c r="E214" t="s">
        <v>785</v>
      </c>
    </row>
    <row r="215" spans="3:5" x14ac:dyDescent="0.25">
      <c r="C215" t="s">
        <v>805</v>
      </c>
      <c r="D215" t="s">
        <v>781</v>
      </c>
      <c r="E215" t="s">
        <v>793</v>
      </c>
    </row>
    <row r="216" spans="3:5" x14ac:dyDescent="0.25">
      <c r="C216" t="s">
        <v>805</v>
      </c>
      <c r="D216" t="s">
        <v>276</v>
      </c>
      <c r="E216" t="s">
        <v>473</v>
      </c>
    </row>
    <row r="217" spans="3:5" x14ac:dyDescent="0.25">
      <c r="C217" t="s">
        <v>805</v>
      </c>
      <c r="D217" t="s">
        <v>277</v>
      </c>
      <c r="E217" t="s">
        <v>473</v>
      </c>
    </row>
    <row r="218" spans="3:5" x14ac:dyDescent="0.25">
      <c r="C218" t="s">
        <v>805</v>
      </c>
      <c r="D218" t="s">
        <v>385</v>
      </c>
      <c r="E218" t="s">
        <v>771</v>
      </c>
    </row>
    <row r="219" spans="3:5" x14ac:dyDescent="0.25">
      <c r="C219" t="s">
        <v>805</v>
      </c>
      <c r="D219" t="s">
        <v>387</v>
      </c>
      <c r="E219" t="s">
        <v>800</v>
      </c>
    </row>
    <row r="220" spans="3:5" x14ac:dyDescent="0.25">
      <c r="C220" t="s">
        <v>805</v>
      </c>
      <c r="D220" t="s">
        <v>374</v>
      </c>
      <c r="E220" t="s">
        <v>785</v>
      </c>
    </row>
    <row r="221" spans="3:5" x14ac:dyDescent="0.25">
      <c r="C221" t="s">
        <v>805</v>
      </c>
      <c r="D221" t="s">
        <v>235</v>
      </c>
      <c r="E221" t="s">
        <v>788</v>
      </c>
    </row>
    <row r="222" spans="3:5" x14ac:dyDescent="0.25">
      <c r="C222" t="s">
        <v>805</v>
      </c>
      <c r="D222" t="s">
        <v>443</v>
      </c>
      <c r="E222" t="s">
        <v>771</v>
      </c>
    </row>
    <row r="223" spans="3:5" x14ac:dyDescent="0.25">
      <c r="C223" t="s">
        <v>805</v>
      </c>
      <c r="D223" t="s">
        <v>380</v>
      </c>
      <c r="E223" t="s">
        <v>771</v>
      </c>
    </row>
    <row r="224" spans="3:5" x14ac:dyDescent="0.25">
      <c r="C224" t="s">
        <v>805</v>
      </c>
      <c r="D224" t="s">
        <v>444</v>
      </c>
      <c r="E224" t="s">
        <v>771</v>
      </c>
    </row>
    <row r="225" spans="3:5" x14ac:dyDescent="0.25">
      <c r="C225" t="s">
        <v>805</v>
      </c>
      <c r="D225" t="s">
        <v>242</v>
      </c>
      <c r="E225" t="s">
        <v>791</v>
      </c>
    </row>
    <row r="226" spans="3:5" x14ac:dyDescent="0.25">
      <c r="C226" t="s">
        <v>805</v>
      </c>
      <c r="D226" t="s">
        <v>388</v>
      </c>
      <c r="E226" t="s">
        <v>801</v>
      </c>
    </row>
    <row r="227" spans="3:5" x14ac:dyDescent="0.25">
      <c r="C227" t="s">
        <v>805</v>
      </c>
      <c r="D227" t="s">
        <v>327</v>
      </c>
      <c r="E227" t="s">
        <v>473</v>
      </c>
    </row>
    <row r="228" spans="3:5" x14ac:dyDescent="0.25">
      <c r="C228" t="s">
        <v>805</v>
      </c>
      <c r="D228" t="s">
        <v>328</v>
      </c>
      <c r="E228" t="s">
        <v>473</v>
      </c>
    </row>
    <row r="229" spans="3:5" x14ac:dyDescent="0.25">
      <c r="C229" t="s">
        <v>805</v>
      </c>
      <c r="D229" t="s">
        <v>243</v>
      </c>
      <c r="E229" t="s">
        <v>472</v>
      </c>
    </row>
    <row r="230" spans="3:5" x14ac:dyDescent="0.25">
      <c r="C230" t="s">
        <v>805</v>
      </c>
      <c r="D230" t="s">
        <v>241</v>
      </c>
      <c r="E230" t="s">
        <v>785</v>
      </c>
    </row>
    <row r="231" spans="3:5" x14ac:dyDescent="0.25">
      <c r="C231" t="s">
        <v>805</v>
      </c>
      <c r="D231" t="s">
        <v>318</v>
      </c>
      <c r="E231" t="s">
        <v>788</v>
      </c>
    </row>
    <row r="232" spans="3:5" x14ac:dyDescent="0.25">
      <c r="C232" t="s">
        <v>805</v>
      </c>
      <c r="D232" t="s">
        <v>369</v>
      </c>
      <c r="E232" t="s">
        <v>797</v>
      </c>
    </row>
    <row r="233" spans="3:5" x14ac:dyDescent="0.25">
      <c r="C233" t="s">
        <v>805</v>
      </c>
      <c r="D233" t="s">
        <v>442</v>
      </c>
      <c r="E233" t="s">
        <v>771</v>
      </c>
    </row>
  </sheetData>
  <sortState xmlns:xlrd2="http://schemas.microsoft.com/office/spreadsheetml/2017/richdata2" ref="D4:E261">
    <sortCondition ref="D4:D2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3330-F8EC-4940-882D-0FBE59303979}">
  <sheetPr>
    <tabColor rgb="FF00B050"/>
  </sheetPr>
  <dimension ref="B1:W267"/>
  <sheetViews>
    <sheetView tabSelected="1" workbookViewId="0">
      <pane ySplit="7" topLeftCell="A8" activePane="bottomLeft" state="frozen"/>
      <selection pane="bottomLeft" activeCell="J15" sqref="J15"/>
    </sheetView>
  </sheetViews>
  <sheetFormatPr defaultRowHeight="15" x14ac:dyDescent="0.25"/>
  <cols>
    <col min="1" max="1" width="3.140625" customWidth="1"/>
    <col min="8" max="8" width="3.140625" customWidth="1"/>
    <col min="9" max="10" width="14" customWidth="1"/>
    <col min="11" max="11" width="3.140625" customWidth="1"/>
    <col min="17" max="17" width="3.140625" customWidth="1"/>
    <col min="18" max="19" width="15.7109375" customWidth="1"/>
    <col min="20" max="20" width="3.140625" customWidth="1"/>
    <col min="22" max="22" width="48" bestFit="1" customWidth="1"/>
    <col min="23" max="23" width="20.140625" bestFit="1" customWidth="1"/>
  </cols>
  <sheetData>
    <row r="1" spans="2:23" ht="15.75" thickBot="1" x14ac:dyDescent="0.3"/>
    <row r="2" spans="2:23" x14ac:dyDescent="0.25">
      <c r="B2" s="21" t="s">
        <v>731</v>
      </c>
      <c r="C2" s="6"/>
      <c r="D2" s="6"/>
      <c r="E2" s="6"/>
      <c r="F2" s="6"/>
      <c r="G2" s="7"/>
      <c r="H2" t="s">
        <v>198</v>
      </c>
      <c r="I2" s="8" t="s">
        <v>681</v>
      </c>
      <c r="J2" s="9"/>
      <c r="L2" s="5" t="s">
        <v>806</v>
      </c>
      <c r="M2" s="6"/>
      <c r="N2" s="6"/>
      <c r="O2" s="6"/>
      <c r="P2" s="7"/>
      <c r="Q2" t="s">
        <v>198</v>
      </c>
      <c r="R2" s="8" t="s">
        <v>682</v>
      </c>
      <c r="S2" s="9"/>
      <c r="V2" s="8" t="s">
        <v>683</v>
      </c>
      <c r="W2" s="9"/>
    </row>
    <row r="3" spans="2:23" x14ac:dyDescent="0.25">
      <c r="B3" s="22" t="s">
        <v>7</v>
      </c>
      <c r="C3" s="23"/>
      <c r="D3" s="23"/>
      <c r="E3" s="23"/>
      <c r="F3" s="23"/>
      <c r="G3" s="11"/>
      <c r="I3" s="12"/>
      <c r="J3" s="13"/>
      <c r="L3" s="10" t="s">
        <v>807</v>
      </c>
      <c r="M3" s="23"/>
      <c r="N3" s="23"/>
      <c r="O3" s="23"/>
      <c r="P3" s="11"/>
      <c r="Q3" t="s">
        <v>198</v>
      </c>
      <c r="R3" s="12"/>
      <c r="S3" s="13"/>
      <c r="V3" s="12"/>
      <c r="W3" s="13"/>
    </row>
    <row r="4" spans="2:23" x14ac:dyDescent="0.25">
      <c r="B4" s="22" t="s">
        <v>732</v>
      </c>
      <c r="C4" s="23"/>
      <c r="D4" s="23"/>
      <c r="E4" s="23"/>
      <c r="F4" s="23"/>
      <c r="G4" s="11"/>
      <c r="I4" s="12"/>
      <c r="J4" s="13"/>
      <c r="L4" s="10" t="s">
        <v>684</v>
      </c>
      <c r="M4" s="23"/>
      <c r="N4" s="23"/>
      <c r="O4" s="23"/>
      <c r="P4" s="11"/>
      <c r="Q4" t="s">
        <v>198</v>
      </c>
      <c r="R4" s="12"/>
      <c r="S4" s="13"/>
      <c r="V4" s="12"/>
      <c r="W4" s="13"/>
    </row>
    <row r="5" spans="2:23" x14ac:dyDescent="0.25">
      <c r="B5" s="22" t="s">
        <v>733</v>
      </c>
      <c r="C5" s="23"/>
      <c r="D5" s="23"/>
      <c r="E5" s="23"/>
      <c r="F5" s="23"/>
      <c r="G5" s="11"/>
      <c r="I5" s="12"/>
      <c r="J5" s="13"/>
      <c r="L5" s="10" t="s">
        <v>685</v>
      </c>
      <c r="M5" s="23"/>
      <c r="N5" s="23"/>
      <c r="O5" s="23"/>
      <c r="P5" s="11"/>
      <c r="Q5" t="s">
        <v>198</v>
      </c>
      <c r="R5" s="12"/>
      <c r="S5" s="13"/>
      <c r="V5" s="12"/>
      <c r="W5" s="13"/>
    </row>
    <row r="6" spans="2:23" x14ac:dyDescent="0.25">
      <c r="B6" s="22" t="s">
        <v>489</v>
      </c>
      <c r="C6" s="23"/>
      <c r="D6" s="23"/>
      <c r="E6" s="23"/>
      <c r="F6" s="23"/>
      <c r="G6" s="11"/>
      <c r="I6" s="12"/>
      <c r="J6" s="13"/>
      <c r="L6" s="10" t="s">
        <v>808</v>
      </c>
      <c r="M6" s="23"/>
      <c r="N6" s="23"/>
      <c r="O6" s="23"/>
      <c r="P6" s="11"/>
      <c r="Q6" t="s">
        <v>198</v>
      </c>
      <c r="R6" s="12"/>
      <c r="S6" s="13"/>
      <c r="V6" s="12"/>
      <c r="W6" s="13"/>
    </row>
    <row r="7" spans="2:23" x14ac:dyDescent="0.25">
      <c r="B7" s="24" t="s">
        <v>199</v>
      </c>
      <c r="C7" s="23"/>
      <c r="D7" s="23"/>
      <c r="E7" s="23"/>
      <c r="F7" s="23"/>
      <c r="G7" s="11"/>
      <c r="I7" s="15" t="s">
        <v>686</v>
      </c>
      <c r="J7" s="11" t="s">
        <v>687</v>
      </c>
      <c r="L7" s="14" t="s">
        <v>809</v>
      </c>
      <c r="M7" s="23"/>
      <c r="N7" s="23"/>
      <c r="O7" s="23"/>
      <c r="P7" s="11"/>
      <c r="Q7" t="s">
        <v>198</v>
      </c>
      <c r="R7" s="15" t="s">
        <v>686</v>
      </c>
      <c r="S7" s="11" t="s">
        <v>688</v>
      </c>
    </row>
    <row r="8" spans="2:23" x14ac:dyDescent="0.25">
      <c r="B8" s="25"/>
      <c r="C8" s="23"/>
      <c r="D8" s="23"/>
      <c r="E8" s="23"/>
      <c r="F8" s="23"/>
      <c r="G8" s="11"/>
      <c r="H8" t="s">
        <v>198</v>
      </c>
      <c r="I8" s="15"/>
      <c r="J8" s="11"/>
      <c r="K8" t="s">
        <v>198</v>
      </c>
      <c r="L8" s="16"/>
      <c r="M8" s="23"/>
      <c r="N8" s="23"/>
      <c r="O8" s="23"/>
      <c r="P8" s="11"/>
      <c r="Q8" t="s">
        <v>198</v>
      </c>
      <c r="R8" s="15"/>
      <c r="S8" s="11"/>
      <c r="T8" t="s">
        <v>198</v>
      </c>
    </row>
    <row r="9" spans="2:23" x14ac:dyDescent="0.25">
      <c r="B9" s="22" t="s">
        <v>200</v>
      </c>
      <c r="C9" s="23"/>
      <c r="D9" s="23"/>
      <c r="E9" s="23"/>
      <c r="F9" s="23"/>
      <c r="G9" s="11"/>
      <c r="H9" t="s">
        <v>198</v>
      </c>
      <c r="I9" s="15" t="str">
        <f>IF(B9="","",TRIM(MID(B9,1,FIND(":",B9)-1)))</f>
        <v>key mandt</v>
      </c>
      <c r="J9" s="11" t="str">
        <f>IF(B9="","",TRIM(SUBSTITUTE(SUBSTITUTE(TRIM(MID(B9,FIND(":",B9)+1,LEN(B9))),";",""),"not null","")))</f>
        <v>mandt</v>
      </c>
      <c r="K9" t="s">
        <v>198</v>
      </c>
      <c r="L9" s="14" t="s">
        <v>689</v>
      </c>
      <c r="M9" s="23"/>
      <c r="N9" s="23"/>
      <c r="O9" s="23"/>
      <c r="P9" s="11"/>
      <c r="Q9" t="s">
        <v>198</v>
      </c>
      <c r="R9" s="15" t="str">
        <f>TRIM(SUBSTITUTE(MID(L9,1,FIND(":",L9)-1),"key",""))</f>
        <v>mandt</v>
      </c>
      <c r="S9" s="11" t="str">
        <f>TRIM(MID(L9,FIND(":",L9)+1,LEN(L9)))</f>
        <v>mandt not null;</v>
      </c>
      <c r="T9" t="s">
        <v>198</v>
      </c>
      <c r="V9" t="str">
        <f t="shared" ref="V9" si="0">IF(OR(ISERROR(W9),W9="--"),B9,IF(ISNUMBER(SEARCH("@",I9)),B9,I9&amp;"  :  "&amp;IF(W9="",J9,W9)))</f>
        <v>key mandt  :  mandt not null;</v>
      </c>
      <c r="W9" t="str">
        <f>IFERROR(INDEX('[1]Resolved Data Elem'!$E$4:$E$1070,MATCH(J9,'[1]Resolved Data Elem'!$D$4:$D$1070,0)),"--")</f>
        <v>mandt not null;</v>
      </c>
    </row>
    <row r="10" spans="2:23" x14ac:dyDescent="0.25">
      <c r="B10" s="22" t="s">
        <v>201</v>
      </c>
      <c r="C10" s="23"/>
      <c r="D10" s="23"/>
      <c r="E10" s="23"/>
      <c r="F10" s="23"/>
      <c r="G10" s="11"/>
      <c r="H10" t="s">
        <v>198</v>
      </c>
      <c r="I10" s="15" t="str">
        <f t="shared" ref="I10:I69" si="1">IF(B10="","",TRIM(MID(B10,1,FIND(":",B10)-1)))</f>
        <v>key custom1</v>
      </c>
      <c r="J10" s="11" t="str">
        <f t="shared" ref="J10:J69" si="2">IF(B10="","",TRIM(SUBSTITUTE(SUBSTITUTE(TRIM(MID(B10,FIND(":",B10)+1,LEN(B10))),";",""),"not null","")))</f>
        <v>zcy_det_custom1</v>
      </c>
      <c r="K10" t="s">
        <v>198</v>
      </c>
      <c r="L10" s="14" t="s">
        <v>810</v>
      </c>
      <c r="M10" s="23"/>
      <c r="N10" s="23"/>
      <c r="O10" s="23"/>
      <c r="P10" s="11"/>
      <c r="Q10" t="s">
        <v>198</v>
      </c>
      <c r="R10" s="15" t="str">
        <f t="shared" ref="R10:R73" si="3">TRIM(SUBSTITUTE(MID(L10,1,FIND(":",L10)-1),"key",""))</f>
        <v>custom1</v>
      </c>
      <c r="S10" s="11" t="str">
        <f t="shared" ref="S10:S73" si="4">TRIM(MID(L10,FIND(":",L10)+1,LEN(L10)))</f>
        <v>abap.char(40) not null;</v>
      </c>
      <c r="T10" t="s">
        <v>198</v>
      </c>
      <c r="V10" t="str">
        <f t="shared" ref="V10:V73" si="5">IF(OR(ISERROR(W10),W10="--"),B10,IF(ISNUMBER(SEARCH("@",I10)),B10,I10&amp;"  :  "&amp;IF(W10="",J10,W10)))</f>
        <v xml:space="preserve">  key custom1                    : zcy_det_custom1 not null;</v>
      </c>
      <c r="W10" t="str">
        <f>IFERROR(INDEX('[1]Resolved Data Elem'!$E$4:$E$1070,MATCH(J10,'[1]Resolved Data Elem'!$D$4:$D$1070,0)),"--")</f>
        <v>--</v>
      </c>
    </row>
    <row r="11" spans="2:23" x14ac:dyDescent="0.25">
      <c r="B11" s="22" t="s">
        <v>202</v>
      </c>
      <c r="C11" s="23"/>
      <c r="D11" s="23"/>
      <c r="E11" s="23"/>
      <c r="F11" s="23"/>
      <c r="G11" s="11"/>
      <c r="H11" t="s">
        <v>198</v>
      </c>
      <c r="I11" s="15" t="str">
        <f t="shared" ref="I11:I74" si="6">IF(B11="","",TRIM(MID(B11,1,FIND(":",B11)-1)))</f>
        <v>key custom4</v>
      </c>
      <c r="J11" s="11" t="str">
        <f t="shared" ref="J11:J74" si="7">IF(B11="","",TRIM(SUBSTITUTE(SUBSTITUTE(TRIM(MID(B11,FIND(":",B11)+1,LEN(B11))),";",""),"not null","")))</f>
        <v>zcy_det_custom4</v>
      </c>
      <c r="K11" t="s">
        <v>198</v>
      </c>
      <c r="L11" s="14" t="s">
        <v>811</v>
      </c>
      <c r="M11" s="23"/>
      <c r="N11" s="23"/>
      <c r="O11" s="23"/>
      <c r="P11" s="11"/>
      <c r="Q11" t="s">
        <v>198</v>
      </c>
      <c r="R11" s="15" t="str">
        <f t="shared" si="3"/>
        <v>custom4</v>
      </c>
      <c r="S11" s="11" t="str">
        <f t="shared" si="4"/>
        <v>abap.char(40) not null;</v>
      </c>
      <c r="T11" t="s">
        <v>198</v>
      </c>
      <c r="V11" t="str">
        <f t="shared" si="5"/>
        <v xml:space="preserve">  key custom4                    : zcy_det_custom4 not null;</v>
      </c>
      <c r="W11" t="str">
        <f>IFERROR(INDEX('[1]Resolved Data Elem'!$E$4:$E$1070,MATCH(J11,'[1]Resolved Data Elem'!$D$4:$D$1070,0)),"--")</f>
        <v>--</v>
      </c>
    </row>
    <row r="12" spans="2:23" x14ac:dyDescent="0.25">
      <c r="B12" s="22" t="s">
        <v>203</v>
      </c>
      <c r="C12" s="23"/>
      <c r="D12" s="23"/>
      <c r="E12" s="23"/>
      <c r="F12" s="23"/>
      <c r="G12" s="11"/>
      <c r="H12" t="s">
        <v>198</v>
      </c>
      <c r="I12" s="15" t="str">
        <f t="shared" si="6"/>
        <v>key custom9</v>
      </c>
      <c r="J12" s="11" t="str">
        <f t="shared" si="7"/>
        <v>zcy_det_custom9</v>
      </c>
      <c r="K12" t="s">
        <v>198</v>
      </c>
      <c r="L12" s="14" t="s">
        <v>812</v>
      </c>
      <c r="M12" s="23"/>
      <c r="N12" s="23"/>
      <c r="O12" s="23"/>
      <c r="P12" s="11"/>
      <c r="Q12" t="s">
        <v>198</v>
      </c>
      <c r="R12" s="15" t="str">
        <f t="shared" si="3"/>
        <v>custom9</v>
      </c>
      <c r="S12" s="11" t="str">
        <f t="shared" si="4"/>
        <v>abap.char(40) not null;</v>
      </c>
      <c r="T12" t="s">
        <v>198</v>
      </c>
      <c r="V12" t="str">
        <f t="shared" si="5"/>
        <v xml:space="preserve">  key custom9                    : zcy_det_custom9 not null;</v>
      </c>
      <c r="W12" t="str">
        <f>IFERROR(INDEX('[1]Resolved Data Elem'!$E$4:$E$1070,MATCH(J12,'[1]Resolved Data Elem'!$D$4:$D$1070,0)),"--")</f>
        <v>--</v>
      </c>
    </row>
    <row r="13" spans="2:23" x14ac:dyDescent="0.25">
      <c r="B13" s="22" t="s">
        <v>490</v>
      </c>
      <c r="C13" s="23"/>
      <c r="D13" s="23"/>
      <c r="E13" s="23"/>
      <c r="F13" s="23"/>
      <c r="G13" s="11"/>
      <c r="H13" t="s">
        <v>198</v>
      </c>
      <c r="I13" s="15" t="str">
        <f t="shared" si="6"/>
        <v>returnperiod</v>
      </c>
      <c r="J13" s="11" t="str">
        <f t="shared" si="7"/>
        <v>zcy_det_returnperiod</v>
      </c>
      <c r="K13" t="s">
        <v>198</v>
      </c>
      <c r="L13" s="17" t="s">
        <v>692</v>
      </c>
      <c r="M13" s="23"/>
      <c r="N13" s="23"/>
      <c r="O13" s="23"/>
      <c r="P13" s="11"/>
      <c r="Q13" t="s">
        <v>198</v>
      </c>
      <c r="R13" s="15" t="str">
        <f t="shared" si="3"/>
        <v>returnperiod</v>
      </c>
      <c r="S13" s="11" t="str">
        <f t="shared" si="4"/>
        <v>abap.char(6);</v>
      </c>
      <c r="T13" t="s">
        <v>198</v>
      </c>
      <c r="V13" t="str">
        <f t="shared" si="5"/>
        <v xml:space="preserve">  returnperiod                   : zcy_det_returnperiod;</v>
      </c>
      <c r="W13" t="str">
        <f>IFERROR(INDEX('[1]Resolved Data Elem'!$E$4:$E$1070,MATCH(J13,'[1]Resolved Data Elem'!$D$4:$D$1070,0)),"--")</f>
        <v>--</v>
      </c>
    </row>
    <row r="14" spans="2:23" x14ac:dyDescent="0.25">
      <c r="B14" s="22" t="s">
        <v>491</v>
      </c>
      <c r="C14" s="23"/>
      <c r="D14" s="23"/>
      <c r="E14" s="23"/>
      <c r="F14" s="23"/>
      <c r="G14" s="11"/>
      <c r="H14" t="s">
        <v>198</v>
      </c>
      <c r="I14" s="15" t="str">
        <f t="shared" si="6"/>
        <v>locationgstin</v>
      </c>
      <c r="J14" s="11" t="str">
        <f t="shared" si="7"/>
        <v>zcy_det_locationgstin</v>
      </c>
      <c r="K14" t="s">
        <v>198</v>
      </c>
      <c r="L14" s="17" t="s">
        <v>690</v>
      </c>
      <c r="M14" s="23"/>
      <c r="N14" s="23"/>
      <c r="O14" s="23"/>
      <c r="P14" s="11"/>
      <c r="Q14" t="s">
        <v>198</v>
      </c>
      <c r="R14" s="15" t="str">
        <f t="shared" si="3"/>
        <v>locationgstin</v>
      </c>
      <c r="S14" s="11" t="str">
        <f t="shared" si="4"/>
        <v>abap.char(15);</v>
      </c>
      <c r="T14" t="s">
        <v>198</v>
      </c>
      <c r="V14" t="str">
        <f t="shared" si="5"/>
        <v xml:space="preserve">  locationgstin                  : zcy_det_locationgstin;</v>
      </c>
      <c r="W14" t="str">
        <f>IFERROR(INDEX('[1]Resolved Data Elem'!$E$4:$E$1070,MATCH(J14,'[1]Resolved Data Elem'!$D$4:$D$1070,0)),"--")</f>
        <v>--</v>
      </c>
    </row>
    <row r="15" spans="2:23" x14ac:dyDescent="0.25">
      <c r="B15" s="22" t="s">
        <v>492</v>
      </c>
      <c r="C15" s="23"/>
      <c r="D15" s="23"/>
      <c r="E15" s="23"/>
      <c r="F15" s="23"/>
      <c r="G15" s="11"/>
      <c r="H15" t="s">
        <v>198</v>
      </c>
      <c r="I15" s="15" t="str">
        <f t="shared" si="6"/>
        <v>documentnumber</v>
      </c>
      <c r="J15" s="11" t="str">
        <f t="shared" si="7"/>
        <v>zcy_det_documentnumber</v>
      </c>
      <c r="K15" t="s">
        <v>198</v>
      </c>
      <c r="L15" s="17" t="s">
        <v>813</v>
      </c>
      <c r="M15" s="23"/>
      <c r="N15" s="23"/>
      <c r="O15" s="23"/>
      <c r="P15" s="11"/>
      <c r="Q15" t="s">
        <v>198</v>
      </c>
      <c r="R15" s="15" t="str">
        <f t="shared" si="3"/>
        <v>documentnumber</v>
      </c>
      <c r="S15" s="11" t="str">
        <f t="shared" si="4"/>
        <v>abap.char(16);</v>
      </c>
      <c r="T15" t="s">
        <v>198</v>
      </c>
      <c r="V15" t="str">
        <f t="shared" si="5"/>
        <v xml:space="preserve">  documentnumber                 : zcy_det_documentnumber;</v>
      </c>
      <c r="W15" t="str">
        <f>IFERROR(INDEX('[1]Resolved Data Elem'!$E$4:$E$1070,MATCH(J15,'[1]Resolved Data Elem'!$D$4:$D$1070,0)),"--")</f>
        <v>--</v>
      </c>
    </row>
    <row r="16" spans="2:23" x14ac:dyDescent="0.25">
      <c r="B16" s="22" t="s">
        <v>493</v>
      </c>
      <c r="C16" s="23"/>
      <c r="D16" s="23"/>
      <c r="E16" s="23"/>
      <c r="F16" s="23"/>
      <c r="G16" s="11"/>
      <c r="H16" t="s">
        <v>198</v>
      </c>
      <c r="I16" s="15" t="str">
        <f t="shared" si="6"/>
        <v>serialnumber</v>
      </c>
      <c r="J16" s="11" t="str">
        <f t="shared" si="7"/>
        <v>zcy_det_serialnumber</v>
      </c>
      <c r="K16" t="s">
        <v>198</v>
      </c>
      <c r="L16" s="17" t="s">
        <v>814</v>
      </c>
      <c r="M16" s="23"/>
      <c r="N16" s="23"/>
      <c r="O16" s="23"/>
      <c r="P16" s="11"/>
      <c r="Q16" t="s">
        <v>198</v>
      </c>
      <c r="R16" s="15" t="str">
        <f t="shared" si="3"/>
        <v>serialnumber</v>
      </c>
      <c r="S16" s="11" t="str">
        <f t="shared" si="4"/>
        <v>abap.char(20);</v>
      </c>
      <c r="T16" t="s">
        <v>198</v>
      </c>
      <c r="V16" t="str">
        <f t="shared" si="5"/>
        <v xml:space="preserve">  serialnumber                   : zcy_det_serialnumber;</v>
      </c>
      <c r="W16" t="str">
        <f>IFERROR(INDEX('[1]Resolved Data Elem'!$E$4:$E$1070,MATCH(J16,'[1]Resolved Data Elem'!$D$4:$D$1070,0)),"--")</f>
        <v>--</v>
      </c>
    </row>
    <row r="17" spans="2:23" x14ac:dyDescent="0.25">
      <c r="B17" s="22" t="s">
        <v>494</v>
      </c>
      <c r="C17" s="23"/>
      <c r="D17" s="23"/>
      <c r="E17" s="23"/>
      <c r="F17" s="23"/>
      <c r="G17" s="11"/>
      <c r="H17" t="s">
        <v>198</v>
      </c>
      <c r="I17" s="15" t="str">
        <f t="shared" si="6"/>
        <v>documentdate</v>
      </c>
      <c r="J17" s="11" t="str">
        <f t="shared" si="7"/>
        <v>bldat</v>
      </c>
      <c r="K17" t="s">
        <v>198</v>
      </c>
      <c r="L17" s="17" t="s">
        <v>815</v>
      </c>
      <c r="M17" s="23"/>
      <c r="N17" s="23"/>
      <c r="O17" s="23"/>
      <c r="P17" s="11"/>
      <c r="Q17" t="s">
        <v>198</v>
      </c>
      <c r="R17" s="15" t="str">
        <f t="shared" si="3"/>
        <v>documentdate</v>
      </c>
      <c r="S17" s="11" t="str">
        <f t="shared" si="4"/>
        <v>bldat;</v>
      </c>
      <c r="T17" t="s">
        <v>198</v>
      </c>
      <c r="V17" t="str">
        <f t="shared" si="5"/>
        <v xml:space="preserve">  documentdate                   : bldat;</v>
      </c>
      <c r="W17" t="str">
        <f>IFERROR(INDEX('[1]Resolved Data Elem'!$E$4:$E$1070,MATCH(J17,'[1]Resolved Data Elem'!$D$4:$D$1070,0)),"--")</f>
        <v>--</v>
      </c>
    </row>
    <row r="18" spans="2:23" x14ac:dyDescent="0.25">
      <c r="B18" s="22" t="s">
        <v>495</v>
      </c>
      <c r="C18" s="23"/>
      <c r="D18" s="23"/>
      <c r="E18" s="23"/>
      <c r="F18" s="23"/>
      <c r="G18" s="11"/>
      <c r="H18" t="s">
        <v>198</v>
      </c>
      <c r="I18" s="15" t="str">
        <f t="shared" si="6"/>
        <v>billfromgstin</v>
      </c>
      <c r="J18" s="11" t="str">
        <f t="shared" si="7"/>
        <v>zcy_det_billfromgstin</v>
      </c>
      <c r="K18" t="s">
        <v>198</v>
      </c>
      <c r="L18" s="17" t="s">
        <v>696</v>
      </c>
      <c r="M18" s="23"/>
      <c r="N18" s="23"/>
      <c r="O18" s="23"/>
      <c r="P18" s="11"/>
      <c r="Q18" t="s">
        <v>198</v>
      </c>
      <c r="R18" s="15" t="str">
        <f t="shared" si="3"/>
        <v>billfromgstin</v>
      </c>
      <c r="S18" s="11" t="str">
        <f t="shared" si="4"/>
        <v>abap.char(15);</v>
      </c>
      <c r="V18" t="str">
        <f t="shared" si="5"/>
        <v xml:space="preserve">  billfromgstin                  : zcy_det_billfromgstin;</v>
      </c>
      <c r="W18" t="str">
        <f>IFERROR(INDEX('[1]Resolved Data Elem'!$E$4:$E$1070,MATCH(J18,'[1]Resolved Data Elem'!$D$4:$D$1070,0)),"--")</f>
        <v>--</v>
      </c>
    </row>
    <row r="19" spans="2:23" x14ac:dyDescent="0.25">
      <c r="B19" s="22" t="s">
        <v>496</v>
      </c>
      <c r="C19" s="23"/>
      <c r="D19" s="23"/>
      <c r="E19" s="23"/>
      <c r="F19" s="23"/>
      <c r="G19" s="11"/>
      <c r="H19" t="s">
        <v>198</v>
      </c>
      <c r="I19" s="15" t="str">
        <f t="shared" si="6"/>
        <v>financialyear</v>
      </c>
      <c r="J19" s="11" t="str">
        <f t="shared" si="7"/>
        <v>zcy_det_financialyear</v>
      </c>
      <c r="K19" t="s">
        <v>198</v>
      </c>
      <c r="L19" s="17" t="s">
        <v>816</v>
      </c>
      <c r="M19" s="23"/>
      <c r="N19" s="23"/>
      <c r="O19" s="23"/>
      <c r="P19" s="11"/>
      <c r="Q19" t="s">
        <v>198</v>
      </c>
      <c r="R19" s="15" t="str">
        <f t="shared" si="3"/>
        <v>financialyear</v>
      </c>
      <c r="S19" s="11" t="str">
        <f t="shared" si="4"/>
        <v>abap.char(6);</v>
      </c>
      <c r="V19" t="str">
        <f t="shared" si="5"/>
        <v xml:space="preserve">  financialyear                  : zcy_det_financialyear;</v>
      </c>
      <c r="W19" t="str">
        <f>IFERROR(INDEX('[1]Resolved Data Elem'!$E$4:$E$1070,MATCH(J19,'[1]Resolved Data Elem'!$D$4:$D$1070,0)),"--")</f>
        <v>--</v>
      </c>
    </row>
    <row r="20" spans="2:23" x14ac:dyDescent="0.25">
      <c r="B20" s="22" t="s">
        <v>497</v>
      </c>
      <c r="C20" s="23"/>
      <c r="D20" s="23"/>
      <c r="E20" s="23"/>
      <c r="F20" s="23"/>
      <c r="G20" s="11"/>
      <c r="H20" t="s">
        <v>198</v>
      </c>
      <c r="I20" s="15" t="str">
        <f t="shared" si="6"/>
        <v>mapperid</v>
      </c>
      <c r="J20" s="11" t="str">
        <f t="shared" si="7"/>
        <v>zcy_det_mapperid</v>
      </c>
      <c r="K20" t="s">
        <v>198</v>
      </c>
      <c r="L20" s="17" t="s">
        <v>817</v>
      </c>
      <c r="M20" s="23"/>
      <c r="N20" s="23"/>
      <c r="O20" s="23"/>
      <c r="P20" s="11"/>
      <c r="Q20" t="s">
        <v>198</v>
      </c>
      <c r="R20" s="15" t="str">
        <f t="shared" si="3"/>
        <v>mapperid</v>
      </c>
      <c r="S20" s="11" t="str">
        <f t="shared" si="4"/>
        <v>abap.char(40);</v>
      </c>
      <c r="V20" t="str">
        <f t="shared" si="5"/>
        <v xml:space="preserve">  mapperid                       : zcy_det_mapperid;</v>
      </c>
      <c r="W20" t="str">
        <f>IFERROR(INDEX('[1]Resolved Data Elem'!$E$4:$E$1070,MATCH(J20,'[1]Resolved Data Elem'!$D$4:$D$1070,0)),"--")</f>
        <v>--</v>
      </c>
    </row>
    <row r="21" spans="2:23" x14ac:dyDescent="0.25">
      <c r="B21" s="22" t="s">
        <v>498</v>
      </c>
      <c r="C21" s="23"/>
      <c r="D21" s="23"/>
      <c r="E21" s="23"/>
      <c r="F21" s="23"/>
      <c r="G21" s="11"/>
      <c r="H21" t="s">
        <v>198</v>
      </c>
      <c r="I21" s="15" t="str">
        <f t="shared" si="6"/>
        <v>supplytype</v>
      </c>
      <c r="J21" s="11" t="str">
        <f t="shared" si="7"/>
        <v>zcy_det_supplytype</v>
      </c>
      <c r="K21" t="s">
        <v>198</v>
      </c>
      <c r="L21" s="17" t="s">
        <v>693</v>
      </c>
      <c r="M21" s="23"/>
      <c r="N21" s="23"/>
      <c r="O21" s="23"/>
      <c r="P21" s="11"/>
      <c r="Q21" t="s">
        <v>198</v>
      </c>
      <c r="R21" s="15" t="str">
        <f t="shared" si="3"/>
        <v>supplytype</v>
      </c>
      <c r="S21" s="11" t="str">
        <f t="shared" si="4"/>
        <v>abap.char(1);</v>
      </c>
      <c r="V21" t="str">
        <f t="shared" si="5"/>
        <v xml:space="preserve">  supplytype                     : zcy_det_supplytype;</v>
      </c>
      <c r="W21" t="str">
        <f>IFERROR(INDEX('[1]Resolved Data Elem'!$E$4:$E$1070,MATCH(J21,'[1]Resolved Data Elem'!$D$4:$D$1070,0)),"--")</f>
        <v>--</v>
      </c>
    </row>
    <row r="22" spans="2:23" x14ac:dyDescent="0.25">
      <c r="B22" s="22" t="s">
        <v>499</v>
      </c>
      <c r="C22" s="23"/>
      <c r="D22" s="23"/>
      <c r="E22" s="23"/>
      <c r="F22" s="23"/>
      <c r="G22" s="11"/>
      <c r="H22" t="s">
        <v>198</v>
      </c>
      <c r="I22" s="15" t="str">
        <f t="shared" si="6"/>
        <v>purpose</v>
      </c>
      <c r="J22" s="11" t="str">
        <f t="shared" si="7"/>
        <v>zcy_det_purpose</v>
      </c>
      <c r="K22" t="s">
        <v>198</v>
      </c>
      <c r="L22" s="17" t="s">
        <v>691</v>
      </c>
      <c r="M22" s="23"/>
      <c r="N22" s="23"/>
      <c r="O22" s="23"/>
      <c r="P22" s="11"/>
      <c r="Q22" t="s">
        <v>198</v>
      </c>
      <c r="R22" s="15" t="str">
        <f t="shared" si="3"/>
        <v>purpose</v>
      </c>
      <c r="S22" s="11" t="str">
        <f t="shared" si="4"/>
        <v>abap.char(13);</v>
      </c>
      <c r="V22" t="str">
        <f t="shared" si="5"/>
        <v xml:space="preserve">  purpose                        : zcy_det_purpose;</v>
      </c>
      <c r="W22" t="str">
        <f>IFERROR(INDEX('[1]Resolved Data Elem'!$E$4:$E$1070,MATCH(J22,'[1]Resolved Data Elem'!$D$4:$D$1070,0)),"--")</f>
        <v>--</v>
      </c>
    </row>
    <row r="23" spans="2:23" x14ac:dyDescent="0.25">
      <c r="B23" s="22" t="s">
        <v>500</v>
      </c>
      <c r="C23" s="23"/>
      <c r="D23" s="23"/>
      <c r="E23" s="23"/>
      <c r="F23" s="23"/>
      <c r="G23" s="11"/>
      <c r="H23" t="s">
        <v>198</v>
      </c>
      <c r="I23" s="15" t="str">
        <f t="shared" si="6"/>
        <v>locationname</v>
      </c>
      <c r="J23" s="11" t="str">
        <f t="shared" si="7"/>
        <v>zcy_det_locationname</v>
      </c>
      <c r="K23" t="s">
        <v>198</v>
      </c>
      <c r="L23" s="17" t="s">
        <v>818</v>
      </c>
      <c r="M23" s="23"/>
      <c r="N23" s="23"/>
      <c r="O23" s="23"/>
      <c r="P23" s="11"/>
      <c r="Q23" t="s">
        <v>198</v>
      </c>
      <c r="R23" s="15" t="str">
        <f t="shared" si="3"/>
        <v>locationname</v>
      </c>
      <c r="S23" s="11" t="str">
        <f t="shared" si="4"/>
        <v>abap.char(40);</v>
      </c>
      <c r="V23" t="str">
        <f t="shared" si="5"/>
        <v xml:space="preserve">  locationname                   : zcy_det_locationname;</v>
      </c>
      <c r="W23" t="str">
        <f>IFERROR(INDEX('[1]Resolved Data Elem'!$E$4:$E$1070,MATCH(J23,'[1]Resolved Data Elem'!$D$4:$D$1070,0)),"--")</f>
        <v>--</v>
      </c>
    </row>
    <row r="24" spans="2:23" x14ac:dyDescent="0.25">
      <c r="B24" s="22" t="s">
        <v>501</v>
      </c>
      <c r="C24" s="23"/>
      <c r="D24" s="23"/>
      <c r="E24" s="23"/>
      <c r="F24" s="23"/>
      <c r="G24" s="11"/>
      <c r="H24" t="s">
        <v>198</v>
      </c>
      <c r="I24" s="15" t="str">
        <f t="shared" si="6"/>
        <v>irn</v>
      </c>
      <c r="J24" s="11" t="str">
        <f t="shared" si="7"/>
        <v>zcy_det_irn</v>
      </c>
      <c r="K24" t="s">
        <v>198</v>
      </c>
      <c r="L24" s="17" t="s">
        <v>819</v>
      </c>
      <c r="M24" s="23"/>
      <c r="N24" s="23"/>
      <c r="O24" s="23"/>
      <c r="P24" s="11"/>
      <c r="Q24" t="s">
        <v>198</v>
      </c>
      <c r="R24" s="15" t="str">
        <f t="shared" si="3"/>
        <v>irn</v>
      </c>
      <c r="S24" s="11" t="str">
        <f t="shared" si="4"/>
        <v>abap.char(70);</v>
      </c>
      <c r="V24" t="str">
        <f t="shared" si="5"/>
        <v xml:space="preserve">  irn                            : zcy_det_irn;</v>
      </c>
      <c r="W24" t="str">
        <f>IFERROR(INDEX('[1]Resolved Data Elem'!$E$4:$E$1070,MATCH(J24,'[1]Resolved Data Elem'!$D$4:$D$1070,0)),"--")</f>
        <v>--</v>
      </c>
    </row>
    <row r="25" spans="2:23" x14ac:dyDescent="0.25">
      <c r="B25" s="22" t="s">
        <v>502</v>
      </c>
      <c r="C25" s="23"/>
      <c r="D25" s="23"/>
      <c r="E25" s="23"/>
      <c r="F25" s="23"/>
      <c r="G25" s="11"/>
      <c r="H25" t="s">
        <v>198</v>
      </c>
      <c r="I25" s="15" t="str">
        <f t="shared" si="6"/>
        <v>liabilitydischargereturnperiod</v>
      </c>
      <c r="J25" s="11" t="str">
        <f t="shared" si="7"/>
        <v>zcy_det_liabilitydischargeretu</v>
      </c>
      <c r="K25" t="s">
        <v>198</v>
      </c>
      <c r="L25" s="17" t="s">
        <v>820</v>
      </c>
      <c r="M25" s="23"/>
      <c r="N25" s="23"/>
      <c r="O25" s="23"/>
      <c r="P25" s="11"/>
      <c r="Q25" t="s">
        <v>198</v>
      </c>
      <c r="R25" s="15" t="str">
        <f t="shared" si="3"/>
        <v>liabilitydischargereturnperiod</v>
      </c>
      <c r="S25" s="11" t="str">
        <f t="shared" si="4"/>
        <v>abap.char(6);</v>
      </c>
      <c r="V25" t="str">
        <f t="shared" si="5"/>
        <v xml:space="preserve">  liabilitydischargereturnperiod : zcy_det_liabilitydischargeretu;</v>
      </c>
      <c r="W25" t="str">
        <f>IFERROR(INDEX('[1]Resolved Data Elem'!$E$4:$E$1070,MATCH(J25,'[1]Resolved Data Elem'!$D$4:$D$1070,0)),"--")</f>
        <v>--</v>
      </c>
    </row>
    <row r="26" spans="2:23" x14ac:dyDescent="0.25">
      <c r="B26" s="22" t="s">
        <v>503</v>
      </c>
      <c r="C26" s="23"/>
      <c r="D26" s="23"/>
      <c r="E26" s="23"/>
      <c r="F26" s="23"/>
      <c r="G26" s="11"/>
      <c r="H26" t="s">
        <v>198</v>
      </c>
      <c r="I26" s="15" t="str">
        <f t="shared" si="6"/>
        <v>itcclaimreturnperiod</v>
      </c>
      <c r="J26" s="11" t="str">
        <f t="shared" si="7"/>
        <v>zcy_det_itcclaimreturnperiod</v>
      </c>
      <c r="K26" t="s">
        <v>198</v>
      </c>
      <c r="L26" s="17" t="s">
        <v>821</v>
      </c>
      <c r="M26" s="23"/>
      <c r="N26" s="23"/>
      <c r="O26" s="23"/>
      <c r="P26" s="11"/>
      <c r="Q26" t="s">
        <v>198</v>
      </c>
      <c r="R26" s="15" t="str">
        <f t="shared" si="3"/>
        <v>itcclaimreturnperiod</v>
      </c>
      <c r="S26" s="11" t="str">
        <f t="shared" si="4"/>
        <v>abap.char(6);</v>
      </c>
      <c r="V26" t="str">
        <f t="shared" si="5"/>
        <v xml:space="preserve">  itcclaimreturnperiod           : zcy_det_itcclaimreturnperiod;</v>
      </c>
      <c r="W26" t="str">
        <f>IFERROR(INDEX('[1]Resolved Data Elem'!$E$4:$E$1070,MATCH(J26,'[1]Resolved Data Elem'!$D$4:$D$1070,0)),"--")</f>
        <v>--</v>
      </c>
    </row>
    <row r="27" spans="2:23" x14ac:dyDescent="0.25">
      <c r="B27" s="22" t="s">
        <v>504</v>
      </c>
      <c r="C27" s="23"/>
      <c r="D27" s="23"/>
      <c r="E27" s="23"/>
      <c r="F27" s="23"/>
      <c r="G27" s="11"/>
      <c r="H27" t="s">
        <v>198</v>
      </c>
      <c r="I27" s="15" t="str">
        <f t="shared" si="6"/>
        <v>documenttype</v>
      </c>
      <c r="J27" s="11" t="str">
        <f t="shared" si="7"/>
        <v>zcy_det_documenttype</v>
      </c>
      <c r="K27" t="s">
        <v>198</v>
      </c>
      <c r="L27" s="17" t="s">
        <v>694</v>
      </c>
      <c r="M27" s="23"/>
      <c r="N27" s="23"/>
      <c r="O27" s="23"/>
      <c r="P27" s="11"/>
      <c r="Q27" t="s">
        <v>198</v>
      </c>
      <c r="R27" s="15" t="str">
        <f t="shared" si="3"/>
        <v>documenttype</v>
      </c>
      <c r="S27" s="11" t="str">
        <f t="shared" si="4"/>
        <v>abap.char(3);</v>
      </c>
      <c r="V27" t="str">
        <f t="shared" si="5"/>
        <v xml:space="preserve">  documenttype                   : zcy_det_documenttype;</v>
      </c>
      <c r="W27" t="str">
        <f>IFERROR(INDEX('[1]Resolved Data Elem'!$E$4:$E$1070,MATCH(J27,'[1]Resolved Data Elem'!$D$4:$D$1070,0)),"--")</f>
        <v>--</v>
      </c>
    </row>
    <row r="28" spans="2:23" x14ac:dyDescent="0.25">
      <c r="B28" s="22" t="s">
        <v>505</v>
      </c>
      <c r="C28" s="23"/>
      <c r="D28" s="23"/>
      <c r="E28" s="23"/>
      <c r="F28" s="23"/>
      <c r="G28" s="11"/>
      <c r="H28" t="s">
        <v>198</v>
      </c>
      <c r="I28" s="15" t="str">
        <f t="shared" si="6"/>
        <v>transactiontype</v>
      </c>
      <c r="J28" s="11" t="str">
        <f t="shared" si="7"/>
        <v>zcy_det_transactiontype</v>
      </c>
      <c r="K28" t="s">
        <v>198</v>
      </c>
      <c r="L28" s="17" t="s">
        <v>695</v>
      </c>
      <c r="M28" s="23"/>
      <c r="N28" s="23"/>
      <c r="O28" s="23"/>
      <c r="P28" s="11"/>
      <c r="Q28" t="s">
        <v>198</v>
      </c>
      <c r="R28" s="15" t="str">
        <f t="shared" si="3"/>
        <v>transactiontype</v>
      </c>
      <c r="S28" s="11" t="str">
        <f t="shared" si="4"/>
        <v>abap.char(6);</v>
      </c>
      <c r="V28" t="str">
        <f t="shared" si="5"/>
        <v xml:space="preserve">  transactiontype                : zcy_det_transactiontype;</v>
      </c>
      <c r="W28" t="str">
        <f>IFERROR(INDEX('[1]Resolved Data Elem'!$E$4:$E$1070,MATCH(J28,'[1]Resolved Data Elem'!$D$4:$D$1070,0)),"--")</f>
        <v>--</v>
      </c>
    </row>
    <row r="29" spans="2:23" x14ac:dyDescent="0.25">
      <c r="B29" s="22" t="s">
        <v>506</v>
      </c>
      <c r="C29" s="23"/>
      <c r="D29" s="23"/>
      <c r="E29" s="23"/>
      <c r="F29" s="23"/>
      <c r="G29" s="11"/>
      <c r="H29" t="s">
        <v>198</v>
      </c>
      <c r="I29" s="15" t="str">
        <f t="shared" si="6"/>
        <v>taxpayertype</v>
      </c>
      <c r="J29" s="11" t="str">
        <f t="shared" si="7"/>
        <v>zcy_det_taxpayertype</v>
      </c>
      <c r="K29" t="s">
        <v>198</v>
      </c>
      <c r="L29" s="17" t="s">
        <v>822</v>
      </c>
      <c r="M29" s="23"/>
      <c r="N29" s="23"/>
      <c r="O29" s="23"/>
      <c r="P29" s="11"/>
      <c r="Q29" t="s">
        <v>198</v>
      </c>
      <c r="R29" s="15" t="str">
        <f t="shared" si="3"/>
        <v>taxpayertype</v>
      </c>
      <c r="S29" s="11" t="str">
        <f t="shared" si="4"/>
        <v>abap.char(4);</v>
      </c>
      <c r="V29" t="str">
        <f t="shared" si="5"/>
        <v xml:space="preserve">  taxpayertype                   : zcy_det_taxpayertype;</v>
      </c>
      <c r="W29" t="str">
        <f>IFERROR(INDEX('[1]Resolved Data Elem'!$E$4:$E$1070,MATCH(J29,'[1]Resolved Data Elem'!$D$4:$D$1070,0)),"--")</f>
        <v>--</v>
      </c>
    </row>
    <row r="30" spans="2:23" x14ac:dyDescent="0.25">
      <c r="B30" s="22" t="s">
        <v>507</v>
      </c>
      <c r="C30" s="23"/>
      <c r="D30" s="23"/>
      <c r="E30" s="23"/>
      <c r="F30" s="23"/>
      <c r="G30" s="11"/>
      <c r="H30" t="s">
        <v>198</v>
      </c>
      <c r="I30" s="15" t="str">
        <f t="shared" si="6"/>
        <v>transactionnature</v>
      </c>
      <c r="J30" s="11" t="str">
        <f t="shared" si="7"/>
        <v>zcy_det_transactionnature</v>
      </c>
      <c r="K30" t="s">
        <v>198</v>
      </c>
      <c r="L30" s="17" t="s">
        <v>823</v>
      </c>
      <c r="M30" s="23"/>
      <c r="N30" s="23"/>
      <c r="O30" s="23"/>
      <c r="P30" s="11"/>
      <c r="Q30" t="s">
        <v>198</v>
      </c>
      <c r="R30" s="15" t="str">
        <f t="shared" si="3"/>
        <v>transactionnature</v>
      </c>
      <c r="S30" s="11" t="str">
        <f t="shared" si="4"/>
        <v>abap.char(3);</v>
      </c>
      <c r="V30" t="str">
        <f t="shared" si="5"/>
        <v xml:space="preserve">  transactionnature              : zcy_det_transactionnature;</v>
      </c>
      <c r="W30" t="str">
        <f>IFERROR(INDEX('[1]Resolved Data Elem'!$E$4:$E$1070,MATCH(J30,'[1]Resolved Data Elem'!$D$4:$D$1070,0)),"--")</f>
        <v>--</v>
      </c>
    </row>
    <row r="31" spans="2:23" x14ac:dyDescent="0.25">
      <c r="B31" s="22" t="s">
        <v>508</v>
      </c>
      <c r="C31" s="23"/>
      <c r="D31" s="23"/>
      <c r="E31" s="23"/>
      <c r="F31" s="23"/>
      <c r="G31" s="11"/>
      <c r="H31" t="s">
        <v>198</v>
      </c>
      <c r="I31" s="15" t="str">
        <f t="shared" si="6"/>
        <v>documentseriescode</v>
      </c>
      <c r="J31" s="11" t="str">
        <f t="shared" si="7"/>
        <v>zcy_det_documentseriescode</v>
      </c>
      <c r="K31" t="s">
        <v>198</v>
      </c>
      <c r="L31" s="17" t="s">
        <v>824</v>
      </c>
      <c r="M31" s="23"/>
      <c r="N31" s="23"/>
      <c r="O31" s="23"/>
      <c r="P31" s="11"/>
      <c r="Q31" t="s">
        <v>198</v>
      </c>
      <c r="R31" s="15" t="str">
        <f t="shared" si="3"/>
        <v>documentseriescode</v>
      </c>
      <c r="S31" s="11" t="str">
        <f t="shared" si="4"/>
        <v>abap.char(10);</v>
      </c>
      <c r="V31" t="str">
        <f t="shared" si="5"/>
        <v xml:space="preserve">  documentseriescode             : zcy_det_documentseriescode;</v>
      </c>
      <c r="W31" t="str">
        <f>IFERROR(INDEX('[1]Resolved Data Elem'!$E$4:$E$1070,MATCH(J31,'[1]Resolved Data Elem'!$D$4:$D$1070,0)),"--")</f>
        <v>--</v>
      </c>
    </row>
    <row r="32" spans="2:23" x14ac:dyDescent="0.25">
      <c r="B32" s="22" t="s">
        <v>509</v>
      </c>
      <c r="C32" s="23"/>
      <c r="D32" s="23"/>
      <c r="E32" s="23"/>
      <c r="F32" s="23"/>
      <c r="G32" s="11"/>
      <c r="H32" t="s">
        <v>198</v>
      </c>
      <c r="I32" s="15" t="str">
        <f t="shared" si="6"/>
        <v>billfromlegalname</v>
      </c>
      <c r="J32" s="11" t="str">
        <f t="shared" si="7"/>
        <v>zcy_det_billfromlegalname</v>
      </c>
      <c r="K32" t="s">
        <v>198</v>
      </c>
      <c r="L32" s="17" t="s">
        <v>825</v>
      </c>
      <c r="M32" s="23"/>
      <c r="N32" s="23"/>
      <c r="O32" s="23"/>
      <c r="P32" s="11"/>
      <c r="Q32" t="s">
        <v>198</v>
      </c>
      <c r="R32" s="15" t="str">
        <f t="shared" si="3"/>
        <v>billfromlegalname</v>
      </c>
      <c r="S32" s="11" t="str">
        <f t="shared" si="4"/>
        <v>abap.char(40);</v>
      </c>
      <c r="V32" t="str">
        <f t="shared" si="5"/>
        <v xml:space="preserve">  billfromlegalname              : zcy_det_billfromlegalname;</v>
      </c>
      <c r="W32" t="str">
        <f>IFERROR(INDEX('[1]Resolved Data Elem'!$E$4:$E$1070,MATCH(J32,'[1]Resolved Data Elem'!$D$4:$D$1070,0)),"--")</f>
        <v>--</v>
      </c>
    </row>
    <row r="33" spans="2:23" x14ac:dyDescent="0.25">
      <c r="B33" s="22" t="s">
        <v>734</v>
      </c>
      <c r="C33" s="23"/>
      <c r="D33" s="23"/>
      <c r="E33" s="23"/>
      <c r="F33" s="23"/>
      <c r="G33" s="11"/>
      <c r="H33" t="s">
        <v>198</v>
      </c>
      <c r="I33" s="15" t="str">
        <f t="shared" si="6"/>
        <v>billfromtradename</v>
      </c>
      <c r="J33" s="11" t="str">
        <f t="shared" si="7"/>
        <v>zcy_det_billfromtradename</v>
      </c>
      <c r="K33" t="s">
        <v>198</v>
      </c>
      <c r="L33" s="17" t="s">
        <v>826</v>
      </c>
      <c r="M33" s="23"/>
      <c r="N33" s="23"/>
      <c r="O33" s="23"/>
      <c r="P33" s="11"/>
      <c r="Q33" t="s">
        <v>198</v>
      </c>
      <c r="R33" s="15" t="str">
        <f t="shared" si="3"/>
        <v>billfromtradename</v>
      </c>
      <c r="S33" s="11" t="str">
        <f t="shared" si="4"/>
        <v>abap.char(40);</v>
      </c>
      <c r="V33" t="str">
        <f t="shared" si="5"/>
        <v xml:space="preserve">  billfromtradename               : zcy_det_billfromtradename;</v>
      </c>
      <c r="W33" t="str">
        <f>IFERROR(INDEX('[1]Resolved Data Elem'!$E$4:$E$1070,MATCH(J33,'[1]Resolved Data Elem'!$D$4:$D$1070,0)),"--")</f>
        <v>--</v>
      </c>
    </row>
    <row r="34" spans="2:23" x14ac:dyDescent="0.25">
      <c r="B34" s="22" t="s">
        <v>735</v>
      </c>
      <c r="C34" s="23"/>
      <c r="D34" s="23"/>
      <c r="E34" s="23"/>
      <c r="F34" s="23"/>
      <c r="G34" s="11"/>
      <c r="H34" t="s">
        <v>198</v>
      </c>
      <c r="I34" s="15" t="str">
        <f t="shared" si="6"/>
        <v>billfromvendorcode</v>
      </c>
      <c r="J34" s="11" t="str">
        <f t="shared" si="7"/>
        <v>zcy_det_billfromvendorcode</v>
      </c>
      <c r="K34" t="s">
        <v>198</v>
      </c>
      <c r="L34" s="17" t="s">
        <v>827</v>
      </c>
      <c r="M34" s="23"/>
      <c r="N34" s="23"/>
      <c r="O34" s="23"/>
      <c r="P34" s="11"/>
      <c r="Q34" t="s">
        <v>198</v>
      </c>
      <c r="R34" s="15" t="str">
        <f t="shared" si="3"/>
        <v>billfromvendorcode</v>
      </c>
      <c r="S34" s="11" t="str">
        <f t="shared" si="4"/>
        <v>abap.char(40);</v>
      </c>
      <c r="V34" t="str">
        <f t="shared" si="5"/>
        <v xml:space="preserve">  billfromvendorcode              : zcy_det_billfromvendorcode;</v>
      </c>
      <c r="W34" t="str">
        <f>IFERROR(INDEX('[1]Resolved Data Elem'!$E$4:$E$1070,MATCH(J34,'[1]Resolved Data Elem'!$D$4:$D$1070,0)),"--")</f>
        <v>--</v>
      </c>
    </row>
    <row r="35" spans="2:23" x14ac:dyDescent="0.25">
      <c r="B35" s="22" t="s">
        <v>736</v>
      </c>
      <c r="C35" s="23"/>
      <c r="D35" s="23"/>
      <c r="E35" s="23"/>
      <c r="F35" s="23"/>
      <c r="G35" s="11"/>
      <c r="H35" t="s">
        <v>198</v>
      </c>
      <c r="I35" s="15" t="str">
        <f t="shared" si="6"/>
        <v>billfromaddress1</v>
      </c>
      <c r="J35" s="11" t="str">
        <f t="shared" si="7"/>
        <v>zcy_det_billfromaddress1</v>
      </c>
      <c r="K35" t="s">
        <v>198</v>
      </c>
      <c r="L35" s="17" t="s">
        <v>828</v>
      </c>
      <c r="M35" s="23"/>
      <c r="N35" s="23"/>
      <c r="O35" s="23"/>
      <c r="P35" s="11"/>
      <c r="Q35" t="s">
        <v>198</v>
      </c>
      <c r="R35" s="15" t="str">
        <f t="shared" si="3"/>
        <v>billfromaddress1</v>
      </c>
      <c r="S35" s="11" t="str">
        <f t="shared" si="4"/>
        <v>abap.char(40);</v>
      </c>
      <c r="V35" t="str">
        <f t="shared" si="5"/>
        <v xml:space="preserve">  billfromaddress1                : zcy_det_billfromaddress1;</v>
      </c>
      <c r="W35" t="str">
        <f>IFERROR(INDEX('[1]Resolved Data Elem'!$E$4:$E$1070,MATCH(J35,'[1]Resolved Data Elem'!$D$4:$D$1070,0)),"--")</f>
        <v>--</v>
      </c>
    </row>
    <row r="36" spans="2:23" x14ac:dyDescent="0.25">
      <c r="B36" s="22" t="s">
        <v>737</v>
      </c>
      <c r="C36" s="23"/>
      <c r="D36" s="23"/>
      <c r="E36" s="23"/>
      <c r="F36" s="23"/>
      <c r="G36" s="11"/>
      <c r="H36" t="s">
        <v>198</v>
      </c>
      <c r="I36" s="15" t="str">
        <f t="shared" si="6"/>
        <v>billfromaddress2</v>
      </c>
      <c r="J36" s="11" t="str">
        <f t="shared" si="7"/>
        <v>zcy_det_billfromaddress2</v>
      </c>
      <c r="K36" t="s">
        <v>198</v>
      </c>
      <c r="L36" s="17" t="s">
        <v>829</v>
      </c>
      <c r="M36" s="23"/>
      <c r="N36" s="23"/>
      <c r="O36" s="23"/>
      <c r="P36" s="11"/>
      <c r="Q36" t="s">
        <v>198</v>
      </c>
      <c r="R36" s="15" t="str">
        <f t="shared" si="3"/>
        <v>billfromaddress2</v>
      </c>
      <c r="S36" s="11" t="str">
        <f t="shared" si="4"/>
        <v>abap.char(40);</v>
      </c>
      <c r="V36" t="str">
        <f t="shared" si="5"/>
        <v xml:space="preserve">  billfromaddress2                : zcy_det_billfromaddress2;</v>
      </c>
      <c r="W36" t="str">
        <f>IFERROR(INDEX('[1]Resolved Data Elem'!$E$4:$E$1070,MATCH(J36,'[1]Resolved Data Elem'!$D$4:$D$1070,0)),"--")</f>
        <v>--</v>
      </c>
    </row>
    <row r="37" spans="2:23" x14ac:dyDescent="0.25">
      <c r="B37" s="22" t="s">
        <v>738</v>
      </c>
      <c r="C37" s="23"/>
      <c r="D37" s="23"/>
      <c r="E37" s="23"/>
      <c r="F37" s="23"/>
      <c r="G37" s="11"/>
      <c r="H37" t="s">
        <v>198</v>
      </c>
      <c r="I37" s="15" t="str">
        <f t="shared" si="6"/>
        <v>billfromcity</v>
      </c>
      <c r="J37" s="11" t="str">
        <f t="shared" si="7"/>
        <v>zcy_det_billfromcity</v>
      </c>
      <c r="K37" t="s">
        <v>198</v>
      </c>
      <c r="L37" s="17" t="s">
        <v>830</v>
      </c>
      <c r="M37" s="23"/>
      <c r="N37" s="23"/>
      <c r="O37" s="23"/>
      <c r="P37" s="11"/>
      <c r="Q37" t="s">
        <v>198</v>
      </c>
      <c r="R37" s="15" t="str">
        <f t="shared" si="3"/>
        <v>billfromcity</v>
      </c>
      <c r="S37" s="11" t="str">
        <f t="shared" si="4"/>
        <v>abap.char(40);</v>
      </c>
      <c r="V37" t="str">
        <f t="shared" si="5"/>
        <v xml:space="preserve">  billfromcity                    : zcy_det_billfromcity;</v>
      </c>
      <c r="W37" t="str">
        <f>IFERROR(INDEX('[1]Resolved Data Elem'!$E$4:$E$1070,MATCH(J37,'[1]Resolved Data Elem'!$D$4:$D$1070,0)),"--")</f>
        <v>--</v>
      </c>
    </row>
    <row r="38" spans="2:23" x14ac:dyDescent="0.25">
      <c r="B38" s="22" t="s">
        <v>739</v>
      </c>
      <c r="C38" s="23"/>
      <c r="D38" s="23"/>
      <c r="E38" s="23"/>
      <c r="F38" s="23"/>
      <c r="G38" s="11"/>
      <c r="H38" t="s">
        <v>198</v>
      </c>
      <c r="I38" s="15" t="str">
        <f t="shared" si="6"/>
        <v>billfromstatecode</v>
      </c>
      <c r="J38" s="11" t="str">
        <f t="shared" si="7"/>
        <v>zcy_det_billfromstatecode</v>
      </c>
      <c r="K38" t="s">
        <v>198</v>
      </c>
      <c r="L38" s="17" t="s">
        <v>831</v>
      </c>
      <c r="M38" s="23"/>
      <c r="N38" s="23"/>
      <c r="O38" s="23"/>
      <c r="P38" s="11"/>
      <c r="Q38" t="s">
        <v>198</v>
      </c>
      <c r="R38" s="15" t="str">
        <f t="shared" si="3"/>
        <v>billfromstatecode</v>
      </c>
      <c r="S38" s="11" t="str">
        <f t="shared" si="4"/>
        <v>abap.char(2);</v>
      </c>
      <c r="V38" t="str">
        <f t="shared" si="5"/>
        <v xml:space="preserve">  billfromstatecode               : zcy_det_billfromstatecode;</v>
      </c>
      <c r="W38" t="str">
        <f>IFERROR(INDEX('[1]Resolved Data Elem'!$E$4:$E$1070,MATCH(J38,'[1]Resolved Data Elem'!$D$4:$D$1070,0)),"--")</f>
        <v>--</v>
      </c>
    </row>
    <row r="39" spans="2:23" x14ac:dyDescent="0.25">
      <c r="B39" s="22" t="s">
        <v>740</v>
      </c>
      <c r="C39" s="23"/>
      <c r="D39" s="23"/>
      <c r="E39" s="23"/>
      <c r="F39" s="23"/>
      <c r="G39" s="11"/>
      <c r="H39" t="s">
        <v>198</v>
      </c>
      <c r="I39" s="15" t="str">
        <f t="shared" si="6"/>
        <v>billfrompincode</v>
      </c>
      <c r="J39" s="11" t="str">
        <f t="shared" si="7"/>
        <v>zcy_det_billfrompincode</v>
      </c>
      <c r="K39" t="s">
        <v>198</v>
      </c>
      <c r="L39" s="17" t="s">
        <v>697</v>
      </c>
      <c r="M39" s="23"/>
      <c r="N39" s="23"/>
      <c r="O39" s="23"/>
      <c r="P39" s="11"/>
      <c r="Q39" t="s">
        <v>198</v>
      </c>
      <c r="R39" s="15" t="str">
        <f t="shared" si="3"/>
        <v>billfrompincode</v>
      </c>
      <c r="S39" s="11" t="str">
        <f t="shared" si="4"/>
        <v>abap.char(6);</v>
      </c>
      <c r="V39" t="str">
        <f t="shared" si="5"/>
        <v xml:space="preserve">  billfrompincode                 : zcy_det_billfrompincode;</v>
      </c>
      <c r="W39" t="str">
        <f>IFERROR(INDEX('[1]Resolved Data Elem'!$E$4:$E$1070,MATCH(J39,'[1]Resolved Data Elem'!$D$4:$D$1070,0)),"--")</f>
        <v>--</v>
      </c>
    </row>
    <row r="40" spans="2:23" x14ac:dyDescent="0.25">
      <c r="B40" s="22" t="s">
        <v>741</v>
      </c>
      <c r="C40" s="23"/>
      <c r="D40" s="23"/>
      <c r="E40" s="23"/>
      <c r="F40" s="23"/>
      <c r="G40" s="11"/>
      <c r="H40" t="s">
        <v>198</v>
      </c>
      <c r="I40" s="15" t="str">
        <f t="shared" si="6"/>
        <v>billfromphone</v>
      </c>
      <c r="J40" s="11" t="str">
        <f t="shared" si="7"/>
        <v>zcy_det_billfromphone</v>
      </c>
      <c r="K40" t="s">
        <v>198</v>
      </c>
      <c r="L40" s="17" t="s">
        <v>698</v>
      </c>
      <c r="M40" s="23"/>
      <c r="N40" s="23"/>
      <c r="O40" s="23"/>
      <c r="P40" s="11"/>
      <c r="Q40" t="s">
        <v>198</v>
      </c>
      <c r="R40" s="15" t="str">
        <f t="shared" si="3"/>
        <v>billfromphone</v>
      </c>
      <c r="S40" s="11" t="str">
        <f t="shared" si="4"/>
        <v>abap.char(12);</v>
      </c>
      <c r="V40" t="str">
        <f t="shared" si="5"/>
        <v xml:space="preserve">  billfromphone                   : zcy_det_billfromphone;</v>
      </c>
      <c r="W40" t="str">
        <f>IFERROR(INDEX('[1]Resolved Data Elem'!$E$4:$E$1070,MATCH(J40,'[1]Resolved Data Elem'!$D$4:$D$1070,0)),"--")</f>
        <v>--</v>
      </c>
    </row>
    <row r="41" spans="2:23" x14ac:dyDescent="0.25">
      <c r="B41" s="22" t="s">
        <v>742</v>
      </c>
      <c r="C41" s="23"/>
      <c r="D41" s="23"/>
      <c r="E41" s="23"/>
      <c r="F41" s="23"/>
      <c r="G41" s="11"/>
      <c r="H41" t="s">
        <v>198</v>
      </c>
      <c r="I41" s="15" t="str">
        <f t="shared" si="6"/>
        <v>billfromemail</v>
      </c>
      <c r="J41" s="11" t="str">
        <f t="shared" si="7"/>
        <v>zcy_det_billfromemail</v>
      </c>
      <c r="K41" t="s">
        <v>198</v>
      </c>
      <c r="L41" s="17" t="s">
        <v>832</v>
      </c>
      <c r="M41" s="23"/>
      <c r="N41" s="23"/>
      <c r="O41" s="23"/>
      <c r="P41" s="11"/>
      <c r="Q41" t="s">
        <v>198</v>
      </c>
      <c r="R41" s="15" t="str">
        <f t="shared" si="3"/>
        <v>billfromemail</v>
      </c>
      <c r="S41" s="11" t="str">
        <f t="shared" si="4"/>
        <v>abap.char(40);</v>
      </c>
      <c r="V41" t="str">
        <f t="shared" si="5"/>
        <v xml:space="preserve">  billfromemail                   : zcy_det_billfromemail;</v>
      </c>
      <c r="W41" t="str">
        <f>IFERROR(INDEX('[1]Resolved Data Elem'!$E$4:$E$1070,MATCH(J41,'[1]Resolved Data Elem'!$D$4:$D$1070,0)),"--")</f>
        <v>--</v>
      </c>
    </row>
    <row r="42" spans="2:23" x14ac:dyDescent="0.25">
      <c r="B42" s="22" t="s">
        <v>510</v>
      </c>
      <c r="C42" s="23"/>
      <c r="D42" s="23"/>
      <c r="E42" s="23"/>
      <c r="F42" s="23"/>
      <c r="G42" s="11"/>
      <c r="H42" t="s">
        <v>198</v>
      </c>
      <c r="I42" s="15" t="str">
        <f t="shared" si="6"/>
        <v>dispatchfromgstin</v>
      </c>
      <c r="J42" s="11" t="str">
        <f t="shared" si="7"/>
        <v>zcy_det_dispatchfromgstin</v>
      </c>
      <c r="K42" t="s">
        <v>198</v>
      </c>
      <c r="L42" s="17" t="s">
        <v>699</v>
      </c>
      <c r="M42" s="23"/>
      <c r="N42" s="23"/>
      <c r="O42" s="23"/>
      <c r="P42" s="11"/>
      <c r="Q42" t="s">
        <v>198</v>
      </c>
      <c r="R42" s="15" t="str">
        <f t="shared" si="3"/>
        <v>dispatchfromgstin</v>
      </c>
      <c r="S42" s="11" t="str">
        <f t="shared" si="4"/>
        <v>abap.char(15);</v>
      </c>
      <c r="V42" t="str">
        <f t="shared" si="5"/>
        <v xml:space="preserve">  dispatchfromgstin              : zcy_det_dispatchfromgstin;</v>
      </c>
      <c r="W42" t="str">
        <f>IFERROR(INDEX('[1]Resolved Data Elem'!$E$4:$E$1070,MATCH(J42,'[1]Resolved Data Elem'!$D$4:$D$1070,0)),"--")</f>
        <v>--</v>
      </c>
    </row>
    <row r="43" spans="2:23" x14ac:dyDescent="0.25">
      <c r="B43" s="22" t="s">
        <v>743</v>
      </c>
      <c r="C43" s="23"/>
      <c r="D43" s="23"/>
      <c r="E43" s="23"/>
      <c r="F43" s="23"/>
      <c r="G43" s="11"/>
      <c r="H43" t="s">
        <v>198</v>
      </c>
      <c r="I43" s="15" t="str">
        <f t="shared" si="6"/>
        <v>dispatchfromtradename</v>
      </c>
      <c r="J43" s="11" t="str">
        <f t="shared" si="7"/>
        <v>zcy_det_dispatchfromtradename</v>
      </c>
      <c r="K43" t="s">
        <v>198</v>
      </c>
      <c r="L43" s="17" t="s">
        <v>833</v>
      </c>
      <c r="M43" s="23"/>
      <c r="N43" s="23"/>
      <c r="O43" s="23"/>
      <c r="P43" s="11"/>
      <c r="Q43" t="s">
        <v>198</v>
      </c>
      <c r="R43" s="15" t="str">
        <f t="shared" si="3"/>
        <v>dispatchfromtradename</v>
      </c>
      <c r="S43" s="11" t="str">
        <f t="shared" si="4"/>
        <v>abap.char(40);</v>
      </c>
      <c r="V43" t="str">
        <f t="shared" si="5"/>
        <v xml:space="preserve">  dispatchfromtradename           : zcy_det_dispatchfromtradename;</v>
      </c>
      <c r="W43" t="str">
        <f>IFERROR(INDEX('[1]Resolved Data Elem'!$E$4:$E$1070,MATCH(J43,'[1]Resolved Data Elem'!$D$4:$D$1070,0)),"--")</f>
        <v>--</v>
      </c>
    </row>
    <row r="44" spans="2:23" x14ac:dyDescent="0.25">
      <c r="B44" s="22" t="s">
        <v>744</v>
      </c>
      <c r="C44" s="23"/>
      <c r="D44" s="23"/>
      <c r="E44" s="23"/>
      <c r="F44" s="23"/>
      <c r="G44" s="11"/>
      <c r="H44" t="s">
        <v>198</v>
      </c>
      <c r="I44" s="15" t="str">
        <f t="shared" si="6"/>
        <v>dispatchfromvendorcode</v>
      </c>
      <c r="J44" s="11" t="str">
        <f t="shared" si="7"/>
        <v>zcy_det_dispatchfromvendorcode</v>
      </c>
      <c r="K44" t="s">
        <v>198</v>
      </c>
      <c r="L44" s="17" t="s">
        <v>834</v>
      </c>
      <c r="M44" s="23"/>
      <c r="N44" s="23"/>
      <c r="O44" s="23"/>
      <c r="P44" s="11"/>
      <c r="Q44" t="s">
        <v>198</v>
      </c>
      <c r="R44" s="15" t="str">
        <f t="shared" si="3"/>
        <v>dispatchfromvendorcode</v>
      </c>
      <c r="S44" s="11" t="str">
        <f t="shared" si="4"/>
        <v>abap.char(40);</v>
      </c>
      <c r="V44" t="str">
        <f t="shared" si="5"/>
        <v xml:space="preserve">  dispatchfromvendorcode          : zcy_det_dispatchfromvendorcode;</v>
      </c>
      <c r="W44" t="str">
        <f>IFERROR(INDEX('[1]Resolved Data Elem'!$E$4:$E$1070,MATCH(J44,'[1]Resolved Data Elem'!$D$4:$D$1070,0)),"--")</f>
        <v>--</v>
      </c>
    </row>
    <row r="45" spans="2:23" x14ac:dyDescent="0.25">
      <c r="B45" s="22" t="s">
        <v>745</v>
      </c>
      <c r="C45" s="23"/>
      <c r="D45" s="23"/>
      <c r="E45" s="23"/>
      <c r="F45" s="23"/>
      <c r="G45" s="11"/>
      <c r="H45" t="s">
        <v>198</v>
      </c>
      <c r="I45" s="15" t="str">
        <f t="shared" si="6"/>
        <v>dispatchfromaddress1</v>
      </c>
      <c r="J45" s="11" t="str">
        <f t="shared" si="7"/>
        <v>zcy_det_dispatchfromaddress1</v>
      </c>
      <c r="K45" t="s">
        <v>198</v>
      </c>
      <c r="L45" s="17" t="s">
        <v>835</v>
      </c>
      <c r="M45" s="23"/>
      <c r="N45" s="23"/>
      <c r="O45" s="23"/>
      <c r="P45" s="11"/>
      <c r="Q45" t="s">
        <v>198</v>
      </c>
      <c r="R45" s="15" t="str">
        <f t="shared" si="3"/>
        <v>dispatchfromaddress1</v>
      </c>
      <c r="S45" s="11" t="str">
        <f t="shared" si="4"/>
        <v>abap.char(40);</v>
      </c>
      <c r="V45" t="str">
        <f t="shared" si="5"/>
        <v xml:space="preserve">  dispatchfromaddress1            : zcy_det_dispatchfromaddress1;</v>
      </c>
      <c r="W45" t="str">
        <f>IFERROR(INDEX('[1]Resolved Data Elem'!$E$4:$E$1070,MATCH(J45,'[1]Resolved Data Elem'!$D$4:$D$1070,0)),"--")</f>
        <v>--</v>
      </c>
    </row>
    <row r="46" spans="2:23" x14ac:dyDescent="0.25">
      <c r="B46" s="22" t="s">
        <v>746</v>
      </c>
      <c r="C46" s="23"/>
      <c r="D46" s="23"/>
      <c r="E46" s="23"/>
      <c r="F46" s="23"/>
      <c r="G46" s="11"/>
      <c r="H46" t="s">
        <v>198</v>
      </c>
      <c r="I46" s="15" t="str">
        <f t="shared" si="6"/>
        <v>dispatchfromaddress2</v>
      </c>
      <c r="J46" s="11" t="str">
        <f t="shared" si="7"/>
        <v>zcy_det_dispatchfromaddress2</v>
      </c>
      <c r="K46" t="s">
        <v>198</v>
      </c>
      <c r="L46" s="17" t="s">
        <v>836</v>
      </c>
      <c r="M46" s="23"/>
      <c r="N46" s="23"/>
      <c r="O46" s="23"/>
      <c r="P46" s="11"/>
      <c r="Q46" t="s">
        <v>198</v>
      </c>
      <c r="R46" s="15" t="str">
        <f t="shared" si="3"/>
        <v>dispatchfromaddress2</v>
      </c>
      <c r="S46" s="11" t="str">
        <f t="shared" si="4"/>
        <v>abap.char(40);</v>
      </c>
      <c r="V46" t="str">
        <f t="shared" si="5"/>
        <v xml:space="preserve">  dispatchfromaddress2            : zcy_det_dispatchfromaddress2;</v>
      </c>
      <c r="W46" t="str">
        <f>IFERROR(INDEX('[1]Resolved Data Elem'!$E$4:$E$1070,MATCH(J46,'[1]Resolved Data Elem'!$D$4:$D$1070,0)),"--")</f>
        <v>--</v>
      </c>
    </row>
    <row r="47" spans="2:23" x14ac:dyDescent="0.25">
      <c r="B47" s="22" t="s">
        <v>747</v>
      </c>
      <c r="C47" s="23"/>
      <c r="D47" s="23"/>
      <c r="E47" s="23"/>
      <c r="F47" s="23"/>
      <c r="G47" s="11"/>
      <c r="H47" t="s">
        <v>198</v>
      </c>
      <c r="I47" s="15" t="str">
        <f t="shared" si="6"/>
        <v>dispatchfromcity</v>
      </c>
      <c r="J47" s="11" t="str">
        <f t="shared" si="7"/>
        <v>zcy_det_dispatchfromcity</v>
      </c>
      <c r="K47" t="s">
        <v>198</v>
      </c>
      <c r="L47" s="17" t="s">
        <v>837</v>
      </c>
      <c r="M47" s="23"/>
      <c r="N47" s="23"/>
      <c r="O47" s="23"/>
      <c r="P47" s="11"/>
      <c r="Q47" t="s">
        <v>198</v>
      </c>
      <c r="R47" s="15" t="str">
        <f t="shared" si="3"/>
        <v>dispatchfromcity</v>
      </c>
      <c r="S47" s="11" t="str">
        <f t="shared" si="4"/>
        <v>abap.char(40);</v>
      </c>
      <c r="V47" t="str">
        <f t="shared" si="5"/>
        <v xml:space="preserve">  dispatchfromcity                : zcy_det_dispatchfromcity;</v>
      </c>
      <c r="W47" t="str">
        <f>IFERROR(INDEX('[1]Resolved Data Elem'!$E$4:$E$1070,MATCH(J47,'[1]Resolved Data Elem'!$D$4:$D$1070,0)),"--")</f>
        <v>--</v>
      </c>
    </row>
    <row r="48" spans="2:23" x14ac:dyDescent="0.25">
      <c r="B48" s="22" t="s">
        <v>748</v>
      </c>
      <c r="C48" s="23"/>
      <c r="D48" s="23"/>
      <c r="E48" s="23"/>
      <c r="F48" s="23"/>
      <c r="G48" s="11"/>
      <c r="H48" t="s">
        <v>198</v>
      </c>
      <c r="I48" s="15" t="str">
        <f t="shared" si="6"/>
        <v>dispatchfromstatecode</v>
      </c>
      <c r="J48" s="11" t="str">
        <f t="shared" si="7"/>
        <v>zcy_det_dispatchfromstatecode</v>
      </c>
      <c r="K48" t="s">
        <v>198</v>
      </c>
      <c r="L48" s="17" t="s">
        <v>838</v>
      </c>
      <c r="M48" s="23"/>
      <c r="N48" s="23"/>
      <c r="O48" s="23"/>
      <c r="P48" s="11"/>
      <c r="Q48" t="s">
        <v>198</v>
      </c>
      <c r="R48" s="15" t="str">
        <f t="shared" si="3"/>
        <v>dispatchfromstatecode</v>
      </c>
      <c r="S48" s="11" t="str">
        <f t="shared" si="4"/>
        <v>abap.char(2);</v>
      </c>
      <c r="V48" t="str">
        <f t="shared" si="5"/>
        <v xml:space="preserve">  dispatchfromstatecode           : zcy_det_dispatchfromstatecode;</v>
      </c>
      <c r="W48" t="str">
        <f>IFERROR(INDEX('[1]Resolved Data Elem'!$E$4:$E$1070,MATCH(J48,'[1]Resolved Data Elem'!$D$4:$D$1070,0)),"--")</f>
        <v>--</v>
      </c>
    </row>
    <row r="49" spans="2:23" x14ac:dyDescent="0.25">
      <c r="B49" s="22" t="s">
        <v>749</v>
      </c>
      <c r="C49" s="23"/>
      <c r="D49" s="23"/>
      <c r="E49" s="23"/>
      <c r="F49" s="23"/>
      <c r="G49" s="11"/>
      <c r="H49" t="s">
        <v>198</v>
      </c>
      <c r="I49" s="15" t="str">
        <f t="shared" si="6"/>
        <v>dispatchfrompincode</v>
      </c>
      <c r="J49" s="11" t="str">
        <f t="shared" si="7"/>
        <v>zcy_det_dispatchfrompincode</v>
      </c>
      <c r="K49" t="s">
        <v>198</v>
      </c>
      <c r="L49" s="17" t="s">
        <v>700</v>
      </c>
      <c r="M49" s="23"/>
      <c r="N49" s="23"/>
      <c r="O49" s="23"/>
      <c r="P49" s="11"/>
      <c r="Q49" t="s">
        <v>198</v>
      </c>
      <c r="R49" s="15" t="str">
        <f t="shared" si="3"/>
        <v>dispatchfrompincode</v>
      </c>
      <c r="S49" s="11" t="str">
        <f t="shared" si="4"/>
        <v>abap.char(6);</v>
      </c>
      <c r="V49" t="str">
        <f t="shared" si="5"/>
        <v xml:space="preserve">  dispatchfrompincode             : zcy_det_dispatchfrompincode;</v>
      </c>
      <c r="W49" t="str">
        <f>IFERROR(INDEX('[1]Resolved Data Elem'!$E$4:$E$1070,MATCH(J49,'[1]Resolved Data Elem'!$D$4:$D$1070,0)),"--")</f>
        <v>--</v>
      </c>
    </row>
    <row r="50" spans="2:23" x14ac:dyDescent="0.25">
      <c r="B50" s="22" t="s">
        <v>511</v>
      </c>
      <c r="C50" s="23"/>
      <c r="D50" s="23"/>
      <c r="E50" s="23"/>
      <c r="F50" s="23"/>
      <c r="G50" s="11"/>
      <c r="H50" t="s">
        <v>198</v>
      </c>
      <c r="I50" s="15" t="str">
        <f t="shared" si="6"/>
        <v>billtogstin</v>
      </c>
      <c r="J50" s="11" t="str">
        <f t="shared" si="7"/>
        <v>zcy_det_billtogstin</v>
      </c>
      <c r="K50" t="s">
        <v>198</v>
      </c>
      <c r="L50" s="17" t="s">
        <v>701</v>
      </c>
      <c r="M50" s="23"/>
      <c r="N50" s="23"/>
      <c r="O50" s="23"/>
      <c r="P50" s="11"/>
      <c r="Q50" t="s">
        <v>198</v>
      </c>
      <c r="R50" s="15" t="str">
        <f t="shared" si="3"/>
        <v>billtogstin</v>
      </c>
      <c r="S50" s="11" t="str">
        <f t="shared" si="4"/>
        <v>abap.char(15);</v>
      </c>
      <c r="V50" t="str">
        <f t="shared" si="5"/>
        <v xml:space="preserve">  billtogstin                    : zcy_det_billtogstin;</v>
      </c>
      <c r="W50" t="str">
        <f>IFERROR(INDEX('[1]Resolved Data Elem'!$E$4:$E$1070,MATCH(J50,'[1]Resolved Data Elem'!$D$4:$D$1070,0)),"--")</f>
        <v>--</v>
      </c>
    </row>
    <row r="51" spans="2:23" x14ac:dyDescent="0.25">
      <c r="B51" s="22" t="s">
        <v>512</v>
      </c>
      <c r="C51" s="23"/>
      <c r="D51" s="23"/>
      <c r="E51" s="23"/>
      <c r="F51" s="23"/>
      <c r="G51" s="11"/>
      <c r="H51" t="s">
        <v>198</v>
      </c>
      <c r="I51" s="15" t="str">
        <f t="shared" si="6"/>
        <v>billtolegalname</v>
      </c>
      <c r="J51" s="11" t="str">
        <f t="shared" si="7"/>
        <v>zcy_det_billtolegalname</v>
      </c>
      <c r="K51" t="s">
        <v>198</v>
      </c>
      <c r="L51" s="17" t="s">
        <v>839</v>
      </c>
      <c r="M51" s="23"/>
      <c r="N51" s="23"/>
      <c r="O51" s="23"/>
      <c r="P51" s="11"/>
      <c r="Q51" t="s">
        <v>198</v>
      </c>
      <c r="R51" s="15" t="str">
        <f t="shared" si="3"/>
        <v>billtolegalname</v>
      </c>
      <c r="S51" s="11" t="str">
        <f t="shared" si="4"/>
        <v>abap.char(40);</v>
      </c>
      <c r="V51" t="str">
        <f t="shared" si="5"/>
        <v xml:space="preserve">  billtolegalname                : zcy_det_billtolegalname;</v>
      </c>
      <c r="W51" t="str">
        <f>IFERROR(INDEX('[1]Resolved Data Elem'!$E$4:$E$1070,MATCH(J51,'[1]Resolved Data Elem'!$D$4:$D$1070,0)),"--")</f>
        <v>--</v>
      </c>
    </row>
    <row r="52" spans="2:23" x14ac:dyDescent="0.25">
      <c r="B52" s="22" t="s">
        <v>750</v>
      </c>
      <c r="C52" s="23"/>
      <c r="D52" s="23"/>
      <c r="E52" s="23"/>
      <c r="F52" s="23"/>
      <c r="G52" s="11"/>
      <c r="H52" t="s">
        <v>198</v>
      </c>
      <c r="I52" s="15" t="str">
        <f t="shared" si="6"/>
        <v>billtotradename</v>
      </c>
      <c r="J52" s="11" t="str">
        <f t="shared" si="7"/>
        <v>zcy_det_billtotradename</v>
      </c>
      <c r="K52" t="s">
        <v>198</v>
      </c>
      <c r="L52" s="17" t="s">
        <v>840</v>
      </c>
      <c r="M52" s="23"/>
      <c r="N52" s="23"/>
      <c r="O52" s="23"/>
      <c r="P52" s="11"/>
      <c r="Q52" t="s">
        <v>198</v>
      </c>
      <c r="R52" s="15" t="str">
        <f t="shared" si="3"/>
        <v>billtotradename</v>
      </c>
      <c r="S52" s="11" t="str">
        <f t="shared" si="4"/>
        <v>abap.char(40);</v>
      </c>
      <c r="V52" t="str">
        <f t="shared" si="5"/>
        <v xml:space="preserve">  billtotradename                 : zcy_det_billtotradename;</v>
      </c>
      <c r="W52" t="str">
        <f>IFERROR(INDEX('[1]Resolved Data Elem'!$E$4:$E$1070,MATCH(J52,'[1]Resolved Data Elem'!$D$4:$D$1070,0)),"--")</f>
        <v>--</v>
      </c>
    </row>
    <row r="53" spans="2:23" x14ac:dyDescent="0.25">
      <c r="B53" s="22" t="s">
        <v>751</v>
      </c>
      <c r="C53" s="23"/>
      <c r="D53" s="23"/>
      <c r="E53" s="23"/>
      <c r="F53" s="23"/>
      <c r="G53" s="11"/>
      <c r="H53" t="s">
        <v>198</v>
      </c>
      <c r="I53" s="15" t="str">
        <f t="shared" si="6"/>
        <v>billtovendorcode</v>
      </c>
      <c r="J53" s="11" t="str">
        <f t="shared" si="7"/>
        <v>zcy_det_billtovendorcode</v>
      </c>
      <c r="K53" t="s">
        <v>198</v>
      </c>
      <c r="L53" s="17" t="s">
        <v>841</v>
      </c>
      <c r="M53" s="23"/>
      <c r="N53" s="23"/>
      <c r="O53" s="23"/>
      <c r="P53" s="11"/>
      <c r="Q53" t="s">
        <v>198</v>
      </c>
      <c r="R53" s="15" t="str">
        <f t="shared" si="3"/>
        <v>billtovendorcode</v>
      </c>
      <c r="S53" s="11" t="str">
        <f t="shared" si="4"/>
        <v>abap.char(10);</v>
      </c>
      <c r="V53" t="str">
        <f t="shared" si="5"/>
        <v xml:space="preserve">  billtovendorcode                : zcy_det_billtovendorcode;</v>
      </c>
      <c r="W53" t="str">
        <f>IFERROR(INDEX('[1]Resolved Data Elem'!$E$4:$E$1070,MATCH(J53,'[1]Resolved Data Elem'!$D$4:$D$1070,0)),"--")</f>
        <v>--</v>
      </c>
    </row>
    <row r="54" spans="2:23" x14ac:dyDescent="0.25">
      <c r="B54" s="22" t="s">
        <v>752</v>
      </c>
      <c r="C54" s="23"/>
      <c r="D54" s="23"/>
      <c r="E54" s="23"/>
      <c r="F54" s="23"/>
      <c r="G54" s="11"/>
      <c r="H54" t="s">
        <v>198</v>
      </c>
      <c r="I54" s="15" t="str">
        <f t="shared" si="6"/>
        <v>billtoaddress1</v>
      </c>
      <c r="J54" s="11" t="str">
        <f t="shared" si="7"/>
        <v>zcy_det_billtoaddress1</v>
      </c>
      <c r="K54" t="s">
        <v>198</v>
      </c>
      <c r="L54" s="17" t="s">
        <v>842</v>
      </c>
      <c r="M54" s="23"/>
      <c r="N54" s="23"/>
      <c r="O54" s="23"/>
      <c r="P54" s="11"/>
      <c r="Q54" t="s">
        <v>198</v>
      </c>
      <c r="R54" s="15" t="str">
        <f t="shared" si="3"/>
        <v>billtoaddress1</v>
      </c>
      <c r="S54" s="11" t="str">
        <f t="shared" si="4"/>
        <v>abap.char(40);</v>
      </c>
      <c r="V54" t="str">
        <f t="shared" si="5"/>
        <v xml:space="preserve">  billtoaddress1                  : zcy_det_billtoaddress1;</v>
      </c>
      <c r="W54" t="str">
        <f>IFERROR(INDEX('[1]Resolved Data Elem'!$E$4:$E$1070,MATCH(J54,'[1]Resolved Data Elem'!$D$4:$D$1070,0)),"--")</f>
        <v>--</v>
      </c>
    </row>
    <row r="55" spans="2:23" x14ac:dyDescent="0.25">
      <c r="B55" s="22" t="s">
        <v>753</v>
      </c>
      <c r="C55" s="23"/>
      <c r="D55" s="23"/>
      <c r="E55" s="23"/>
      <c r="F55" s="23"/>
      <c r="G55" s="11"/>
      <c r="H55" t="s">
        <v>198</v>
      </c>
      <c r="I55" s="15" t="str">
        <f t="shared" si="6"/>
        <v>billtoaddress2</v>
      </c>
      <c r="J55" s="11" t="str">
        <f t="shared" si="7"/>
        <v>zcy_det_billtoaddress2</v>
      </c>
      <c r="K55" t="s">
        <v>198</v>
      </c>
      <c r="L55" s="17" t="s">
        <v>843</v>
      </c>
      <c r="M55" s="23"/>
      <c r="N55" s="23"/>
      <c r="O55" s="23"/>
      <c r="P55" s="11"/>
      <c r="Q55" t="s">
        <v>198</v>
      </c>
      <c r="R55" s="15" t="str">
        <f t="shared" si="3"/>
        <v>billtoaddress2</v>
      </c>
      <c r="S55" s="11" t="str">
        <f t="shared" si="4"/>
        <v>abap.char(40);</v>
      </c>
      <c r="V55" t="str">
        <f t="shared" si="5"/>
        <v xml:space="preserve">  billtoaddress2                  : zcy_det_billtoaddress2;</v>
      </c>
      <c r="W55" t="str">
        <f>IFERROR(INDEX('[1]Resolved Data Elem'!$E$4:$E$1070,MATCH(J55,'[1]Resolved Data Elem'!$D$4:$D$1070,0)),"--")</f>
        <v>--</v>
      </c>
    </row>
    <row r="56" spans="2:23" x14ac:dyDescent="0.25">
      <c r="B56" s="22" t="s">
        <v>754</v>
      </c>
      <c r="C56" s="23"/>
      <c r="D56" s="23"/>
      <c r="E56" s="23"/>
      <c r="F56" s="23"/>
      <c r="G56" s="11"/>
      <c r="H56" t="s">
        <v>198</v>
      </c>
      <c r="I56" s="15" t="str">
        <f t="shared" si="6"/>
        <v>billtocity</v>
      </c>
      <c r="J56" s="11" t="str">
        <f t="shared" si="7"/>
        <v>zcy_det_billtocity</v>
      </c>
      <c r="K56" t="s">
        <v>198</v>
      </c>
      <c r="L56" s="17" t="s">
        <v>844</v>
      </c>
      <c r="M56" s="23"/>
      <c r="N56" s="23"/>
      <c r="O56" s="23"/>
      <c r="P56" s="11"/>
      <c r="Q56" t="s">
        <v>198</v>
      </c>
      <c r="R56" s="15" t="str">
        <f t="shared" si="3"/>
        <v>billtocity</v>
      </c>
      <c r="S56" s="11" t="str">
        <f t="shared" si="4"/>
        <v>abap.char(40);</v>
      </c>
      <c r="V56" t="str">
        <f t="shared" si="5"/>
        <v xml:space="preserve">  billtocity                      : zcy_det_billtocity;</v>
      </c>
      <c r="W56" t="str">
        <f>IFERROR(INDEX('[1]Resolved Data Elem'!$E$4:$E$1070,MATCH(J56,'[1]Resolved Data Elem'!$D$4:$D$1070,0)),"--")</f>
        <v>--</v>
      </c>
    </row>
    <row r="57" spans="2:23" x14ac:dyDescent="0.25">
      <c r="B57" s="22" t="s">
        <v>755</v>
      </c>
      <c r="C57" s="23"/>
      <c r="D57" s="23"/>
      <c r="E57" s="23"/>
      <c r="F57" s="23"/>
      <c r="G57" s="11"/>
      <c r="H57" t="s">
        <v>198</v>
      </c>
      <c r="I57" s="15" t="str">
        <f t="shared" si="6"/>
        <v>billtostatecode</v>
      </c>
      <c r="J57" s="11" t="str">
        <f t="shared" si="7"/>
        <v>zcy_det_billtostatecode</v>
      </c>
      <c r="K57" t="s">
        <v>198</v>
      </c>
      <c r="L57" s="17" t="s">
        <v>845</v>
      </c>
      <c r="M57" s="23"/>
      <c r="N57" s="23"/>
      <c r="O57" s="23"/>
      <c r="P57" s="11"/>
      <c r="Q57" t="s">
        <v>198</v>
      </c>
      <c r="R57" s="15" t="str">
        <f t="shared" si="3"/>
        <v>billtostatecode</v>
      </c>
      <c r="S57" s="11" t="str">
        <f t="shared" si="4"/>
        <v>abap.char(2);</v>
      </c>
      <c r="V57" t="str">
        <f t="shared" si="5"/>
        <v xml:space="preserve">  billtostatecode                 : zcy_det_billtostatecode;</v>
      </c>
      <c r="W57" t="str">
        <f>IFERROR(INDEX('[1]Resolved Data Elem'!$E$4:$E$1070,MATCH(J57,'[1]Resolved Data Elem'!$D$4:$D$1070,0)),"--")</f>
        <v>--</v>
      </c>
    </row>
    <row r="58" spans="2:23" x14ac:dyDescent="0.25">
      <c r="B58" s="22" t="s">
        <v>756</v>
      </c>
      <c r="C58" s="23"/>
      <c r="D58" s="23"/>
      <c r="E58" s="23"/>
      <c r="F58" s="23"/>
      <c r="G58" s="11"/>
      <c r="H58" t="s">
        <v>198</v>
      </c>
      <c r="I58" s="15" t="str">
        <f t="shared" si="6"/>
        <v>billtopincode</v>
      </c>
      <c r="J58" s="11" t="str">
        <f t="shared" si="7"/>
        <v>zcy_det_billtopincode</v>
      </c>
      <c r="K58" t="s">
        <v>198</v>
      </c>
      <c r="L58" s="17" t="s">
        <v>846</v>
      </c>
      <c r="M58" s="23"/>
      <c r="N58" s="23"/>
      <c r="O58" s="23"/>
      <c r="P58" s="11"/>
      <c r="Q58" t="s">
        <v>198</v>
      </c>
      <c r="R58" s="15" t="str">
        <f t="shared" si="3"/>
        <v>billtopincode</v>
      </c>
      <c r="S58" s="11" t="str">
        <f t="shared" si="4"/>
        <v>abap.char(6);</v>
      </c>
      <c r="V58" t="str">
        <f t="shared" si="5"/>
        <v xml:space="preserve">  billtopincode                   : zcy_det_billtopincode;</v>
      </c>
      <c r="W58" t="str">
        <f>IFERROR(INDEX('[1]Resolved Data Elem'!$E$4:$E$1070,MATCH(J58,'[1]Resolved Data Elem'!$D$4:$D$1070,0)),"--")</f>
        <v>--</v>
      </c>
    </row>
    <row r="59" spans="2:23" x14ac:dyDescent="0.25">
      <c r="B59" s="22" t="s">
        <v>757</v>
      </c>
      <c r="C59" s="23"/>
      <c r="D59" s="23"/>
      <c r="E59" s="23"/>
      <c r="F59" s="23"/>
      <c r="G59" s="11"/>
      <c r="H59" t="s">
        <v>198</v>
      </c>
      <c r="I59" s="15" t="str">
        <f t="shared" si="6"/>
        <v>billtophone</v>
      </c>
      <c r="J59" s="11" t="str">
        <f t="shared" si="7"/>
        <v>zcy_det_billtophone</v>
      </c>
      <c r="K59" t="s">
        <v>198</v>
      </c>
      <c r="L59" s="17" t="s">
        <v>847</v>
      </c>
      <c r="M59" s="23"/>
      <c r="N59" s="23"/>
      <c r="O59" s="23"/>
      <c r="P59" s="11"/>
      <c r="Q59" t="s">
        <v>198</v>
      </c>
      <c r="R59" s="15" t="str">
        <f t="shared" si="3"/>
        <v>billtophone</v>
      </c>
      <c r="S59" s="11" t="str">
        <f t="shared" si="4"/>
        <v>abap.char(12);</v>
      </c>
      <c r="V59" t="str">
        <f t="shared" si="5"/>
        <v xml:space="preserve">  billtophone                     : zcy_det_billtophone;</v>
      </c>
      <c r="W59" t="str">
        <f>IFERROR(INDEX('[1]Resolved Data Elem'!$E$4:$E$1070,MATCH(J59,'[1]Resolved Data Elem'!$D$4:$D$1070,0)),"--")</f>
        <v>--</v>
      </c>
    </row>
    <row r="60" spans="2:23" x14ac:dyDescent="0.25">
      <c r="B60" s="22" t="s">
        <v>758</v>
      </c>
      <c r="C60" s="23"/>
      <c r="D60" s="23"/>
      <c r="E60" s="23"/>
      <c r="F60" s="23"/>
      <c r="G60" s="11"/>
      <c r="H60" t="s">
        <v>198</v>
      </c>
      <c r="I60" s="15" t="str">
        <f t="shared" si="6"/>
        <v>billtoemail</v>
      </c>
      <c r="J60" s="11" t="str">
        <f t="shared" si="7"/>
        <v>zcy_det_billtoemail</v>
      </c>
      <c r="K60" t="s">
        <v>198</v>
      </c>
      <c r="L60" s="17" t="s">
        <v>848</v>
      </c>
      <c r="M60" s="23"/>
      <c r="N60" s="23"/>
      <c r="O60" s="23"/>
      <c r="P60" s="11"/>
      <c r="Q60" t="s">
        <v>198</v>
      </c>
      <c r="R60" s="15" t="str">
        <f t="shared" si="3"/>
        <v>billtoemail</v>
      </c>
      <c r="S60" s="11" t="str">
        <f t="shared" si="4"/>
        <v>abap.char(40);</v>
      </c>
      <c r="V60" t="str">
        <f t="shared" si="5"/>
        <v xml:space="preserve">  billtoemail                     : zcy_det_billtoemail;</v>
      </c>
      <c r="W60" t="str">
        <f>IFERROR(INDEX('[1]Resolved Data Elem'!$E$4:$E$1070,MATCH(J60,'[1]Resolved Data Elem'!$D$4:$D$1070,0)),"--")</f>
        <v>--</v>
      </c>
    </row>
    <row r="61" spans="2:23" x14ac:dyDescent="0.25">
      <c r="B61" s="22" t="s">
        <v>513</v>
      </c>
      <c r="C61" s="23"/>
      <c r="D61" s="23"/>
      <c r="E61" s="23"/>
      <c r="F61" s="23"/>
      <c r="G61" s="11"/>
      <c r="H61" t="s">
        <v>198</v>
      </c>
      <c r="I61" s="15" t="str">
        <f t="shared" si="6"/>
        <v>shiptogstin</v>
      </c>
      <c r="J61" s="11" t="str">
        <f t="shared" si="7"/>
        <v>zcy_det_shiptogstin</v>
      </c>
      <c r="K61" t="s">
        <v>198</v>
      </c>
      <c r="L61" s="17" t="s">
        <v>702</v>
      </c>
      <c r="M61" s="23"/>
      <c r="N61" s="23"/>
      <c r="O61" s="23"/>
      <c r="P61" s="11"/>
      <c r="Q61" t="s">
        <v>198</v>
      </c>
      <c r="R61" s="15" t="str">
        <f t="shared" si="3"/>
        <v>shiptogstin</v>
      </c>
      <c r="S61" s="11" t="str">
        <f t="shared" si="4"/>
        <v>abap.char(15);</v>
      </c>
      <c r="V61" t="str">
        <f t="shared" si="5"/>
        <v xml:space="preserve">  shiptogstin                    : zcy_det_shiptogstin;</v>
      </c>
      <c r="W61" t="str">
        <f>IFERROR(INDEX('[1]Resolved Data Elem'!$E$4:$E$1070,MATCH(J61,'[1]Resolved Data Elem'!$D$4:$D$1070,0)),"--")</f>
        <v>--</v>
      </c>
    </row>
    <row r="62" spans="2:23" x14ac:dyDescent="0.25">
      <c r="B62" s="22" t="s">
        <v>514</v>
      </c>
      <c r="C62" s="23"/>
      <c r="D62" s="23"/>
      <c r="E62" s="23"/>
      <c r="F62" s="23"/>
      <c r="G62" s="11"/>
      <c r="H62" t="s">
        <v>198</v>
      </c>
      <c r="I62" s="15" t="str">
        <f t="shared" si="6"/>
        <v>shiptolegalname</v>
      </c>
      <c r="J62" s="11" t="str">
        <f t="shared" si="7"/>
        <v>zcy_det_shiptolegalname</v>
      </c>
      <c r="K62" t="s">
        <v>198</v>
      </c>
      <c r="L62" s="17" t="s">
        <v>849</v>
      </c>
      <c r="M62" s="23"/>
      <c r="N62" s="23"/>
      <c r="O62" s="23"/>
      <c r="P62" s="11"/>
      <c r="Q62" t="s">
        <v>198</v>
      </c>
      <c r="R62" s="15" t="str">
        <f t="shared" si="3"/>
        <v>shiptolegalname</v>
      </c>
      <c r="S62" s="11" t="str">
        <f t="shared" si="4"/>
        <v>abap.char(40);</v>
      </c>
      <c r="V62" t="str">
        <f t="shared" si="5"/>
        <v xml:space="preserve">  shiptolegalname                : zcy_det_shiptolegalname;</v>
      </c>
      <c r="W62" t="str">
        <f>IFERROR(INDEX('[1]Resolved Data Elem'!$E$4:$E$1070,MATCH(J62,'[1]Resolved Data Elem'!$D$4:$D$1070,0)),"--")</f>
        <v>--</v>
      </c>
    </row>
    <row r="63" spans="2:23" x14ac:dyDescent="0.25">
      <c r="B63" s="22" t="s">
        <v>759</v>
      </c>
      <c r="C63" s="23"/>
      <c r="D63" s="23"/>
      <c r="E63" s="23"/>
      <c r="F63" s="23"/>
      <c r="G63" s="11"/>
      <c r="H63" t="s">
        <v>198</v>
      </c>
      <c r="I63" s="15" t="str">
        <f t="shared" si="6"/>
        <v>shiptotradename</v>
      </c>
      <c r="J63" s="11" t="str">
        <f t="shared" si="7"/>
        <v>zcy_det_shiptotradename</v>
      </c>
      <c r="K63" t="s">
        <v>198</v>
      </c>
      <c r="L63" s="17" t="s">
        <v>850</v>
      </c>
      <c r="M63" s="23"/>
      <c r="N63" s="23"/>
      <c r="O63" s="23"/>
      <c r="P63" s="11"/>
      <c r="Q63" t="s">
        <v>198</v>
      </c>
      <c r="R63" s="15" t="str">
        <f t="shared" si="3"/>
        <v>shiptotradename</v>
      </c>
      <c r="S63" s="11" t="str">
        <f t="shared" si="4"/>
        <v>abap.char(40);</v>
      </c>
      <c r="V63" t="str">
        <f t="shared" si="5"/>
        <v xml:space="preserve">  shiptotradename                 : zcy_det_shiptotradename;</v>
      </c>
      <c r="W63" t="str">
        <f>IFERROR(INDEX('[1]Resolved Data Elem'!$E$4:$E$1070,MATCH(J63,'[1]Resolved Data Elem'!$D$4:$D$1070,0)),"--")</f>
        <v>--</v>
      </c>
    </row>
    <row r="64" spans="2:23" x14ac:dyDescent="0.25">
      <c r="B64" s="22" t="s">
        <v>760</v>
      </c>
      <c r="C64" s="23"/>
      <c r="D64" s="23"/>
      <c r="E64" s="23"/>
      <c r="F64" s="23"/>
      <c r="G64" s="11"/>
      <c r="H64" t="s">
        <v>198</v>
      </c>
      <c r="I64" s="15" t="str">
        <f t="shared" si="6"/>
        <v>shiptovendorcode</v>
      </c>
      <c r="J64" s="11" t="str">
        <f t="shared" si="7"/>
        <v>zcy_det_shiptovendorcode</v>
      </c>
      <c r="K64" t="s">
        <v>198</v>
      </c>
      <c r="L64" s="17" t="s">
        <v>851</v>
      </c>
      <c r="M64" s="23"/>
      <c r="N64" s="23"/>
      <c r="O64" s="23"/>
      <c r="P64" s="11"/>
      <c r="Q64" t="s">
        <v>198</v>
      </c>
      <c r="R64" s="15" t="str">
        <f t="shared" si="3"/>
        <v>shiptovendorcode</v>
      </c>
      <c r="S64" s="11" t="str">
        <f t="shared" si="4"/>
        <v>abap.char(40);</v>
      </c>
      <c r="V64" t="str">
        <f t="shared" si="5"/>
        <v xml:space="preserve">  shiptovendorcode                : zcy_det_shiptovendorcode;</v>
      </c>
      <c r="W64" t="str">
        <f>IFERROR(INDEX('[1]Resolved Data Elem'!$E$4:$E$1070,MATCH(J64,'[1]Resolved Data Elem'!$D$4:$D$1070,0)),"--")</f>
        <v>--</v>
      </c>
    </row>
    <row r="65" spans="2:23" x14ac:dyDescent="0.25">
      <c r="B65" s="22" t="s">
        <v>761</v>
      </c>
      <c r="C65" s="23"/>
      <c r="D65" s="23"/>
      <c r="E65" s="23"/>
      <c r="F65" s="23"/>
      <c r="G65" s="11"/>
      <c r="H65" t="s">
        <v>198</v>
      </c>
      <c r="I65" s="15" t="str">
        <f t="shared" si="6"/>
        <v>shiptoaddress1</v>
      </c>
      <c r="J65" s="11" t="str">
        <f t="shared" si="7"/>
        <v>zcy_det_shiptoaddress1</v>
      </c>
      <c r="K65" t="s">
        <v>198</v>
      </c>
      <c r="L65" s="17" t="s">
        <v>852</v>
      </c>
      <c r="M65" s="23"/>
      <c r="N65" s="23"/>
      <c r="O65" s="23"/>
      <c r="P65" s="11"/>
      <c r="Q65" t="s">
        <v>198</v>
      </c>
      <c r="R65" s="15" t="str">
        <f t="shared" si="3"/>
        <v>shiptoaddress1</v>
      </c>
      <c r="S65" s="11" t="str">
        <f t="shared" si="4"/>
        <v>abap.char(40);</v>
      </c>
      <c r="V65" t="str">
        <f t="shared" si="5"/>
        <v xml:space="preserve">  shiptoaddress1                  : zcy_det_shiptoaddress1;</v>
      </c>
      <c r="W65" t="str">
        <f>IFERROR(INDEX('[1]Resolved Data Elem'!$E$4:$E$1070,MATCH(J65,'[1]Resolved Data Elem'!$D$4:$D$1070,0)),"--")</f>
        <v>--</v>
      </c>
    </row>
    <row r="66" spans="2:23" x14ac:dyDescent="0.25">
      <c r="B66" s="22" t="s">
        <v>762</v>
      </c>
      <c r="C66" s="23"/>
      <c r="D66" s="23"/>
      <c r="E66" s="23"/>
      <c r="F66" s="23"/>
      <c r="G66" s="11"/>
      <c r="H66" t="s">
        <v>198</v>
      </c>
      <c r="I66" s="15" t="str">
        <f t="shared" si="6"/>
        <v>shiptoaddress2</v>
      </c>
      <c r="J66" s="11" t="str">
        <f t="shared" si="7"/>
        <v>zcy_det_shiptoaddress2</v>
      </c>
      <c r="K66" t="s">
        <v>198</v>
      </c>
      <c r="L66" s="17" t="s">
        <v>853</v>
      </c>
      <c r="M66" s="23"/>
      <c r="N66" s="23"/>
      <c r="O66" s="23"/>
      <c r="P66" s="11"/>
      <c r="Q66" t="s">
        <v>198</v>
      </c>
      <c r="R66" s="15" t="str">
        <f t="shared" si="3"/>
        <v>shiptoaddress2</v>
      </c>
      <c r="S66" s="11" t="str">
        <f t="shared" si="4"/>
        <v>abap.char(40);</v>
      </c>
      <c r="V66" t="str">
        <f t="shared" si="5"/>
        <v xml:space="preserve">  shiptoaddress2                  : zcy_det_shiptoaddress2;</v>
      </c>
      <c r="W66" t="str">
        <f>IFERROR(INDEX('[1]Resolved Data Elem'!$E$4:$E$1070,MATCH(J66,'[1]Resolved Data Elem'!$D$4:$D$1070,0)),"--")</f>
        <v>--</v>
      </c>
    </row>
    <row r="67" spans="2:23" x14ac:dyDescent="0.25">
      <c r="B67" s="22" t="s">
        <v>763</v>
      </c>
      <c r="C67" s="23"/>
      <c r="D67" s="23"/>
      <c r="E67" s="23"/>
      <c r="F67" s="23"/>
      <c r="G67" s="11"/>
      <c r="H67" t="s">
        <v>198</v>
      </c>
      <c r="I67" s="15" t="str">
        <f t="shared" si="6"/>
        <v>shiptocity</v>
      </c>
      <c r="J67" s="11" t="str">
        <f t="shared" si="7"/>
        <v>zcy_det_shiptocity</v>
      </c>
      <c r="K67" t="s">
        <v>198</v>
      </c>
      <c r="L67" s="17" t="s">
        <v>854</v>
      </c>
      <c r="M67" s="23"/>
      <c r="N67" s="23"/>
      <c r="O67" s="23"/>
      <c r="P67" s="11"/>
      <c r="Q67" t="s">
        <v>198</v>
      </c>
      <c r="R67" s="15" t="str">
        <f t="shared" si="3"/>
        <v>shiptocity</v>
      </c>
      <c r="S67" s="11" t="str">
        <f t="shared" si="4"/>
        <v>abap.char(40);</v>
      </c>
      <c r="V67" t="str">
        <f t="shared" si="5"/>
        <v xml:space="preserve">  shiptocity                      : zcy_det_shiptocity;</v>
      </c>
      <c r="W67" t="str">
        <f>IFERROR(INDEX('[1]Resolved Data Elem'!$E$4:$E$1070,MATCH(J67,'[1]Resolved Data Elem'!$D$4:$D$1070,0)),"--")</f>
        <v>--</v>
      </c>
    </row>
    <row r="68" spans="2:23" x14ac:dyDescent="0.25">
      <c r="B68" s="22" t="s">
        <v>764</v>
      </c>
      <c r="C68" s="23"/>
      <c r="D68" s="23"/>
      <c r="E68" s="23"/>
      <c r="F68" s="23"/>
      <c r="G68" s="11"/>
      <c r="H68" t="s">
        <v>198</v>
      </c>
      <c r="I68" s="15" t="str">
        <f t="shared" si="6"/>
        <v>shiptostatecode</v>
      </c>
      <c r="J68" s="11" t="str">
        <f t="shared" si="7"/>
        <v>zcy_det_shiptostatecode</v>
      </c>
      <c r="K68" t="s">
        <v>198</v>
      </c>
      <c r="L68" s="17" t="s">
        <v>855</v>
      </c>
      <c r="M68" s="23"/>
      <c r="N68" s="23"/>
      <c r="O68" s="23"/>
      <c r="P68" s="11"/>
      <c r="Q68" t="s">
        <v>198</v>
      </c>
      <c r="R68" s="15" t="str">
        <f t="shared" si="3"/>
        <v>shiptostatecode</v>
      </c>
      <c r="S68" s="11" t="str">
        <f t="shared" si="4"/>
        <v>abap.char(2);</v>
      </c>
      <c r="V68" t="str">
        <f t="shared" si="5"/>
        <v xml:space="preserve">  shiptostatecode                 : zcy_det_shiptostatecode;</v>
      </c>
      <c r="W68" t="str">
        <f>IFERROR(INDEX('[1]Resolved Data Elem'!$E$4:$E$1070,MATCH(J68,'[1]Resolved Data Elem'!$D$4:$D$1070,0)),"--")</f>
        <v>--</v>
      </c>
    </row>
    <row r="69" spans="2:23" x14ac:dyDescent="0.25">
      <c r="B69" s="22" t="s">
        <v>765</v>
      </c>
      <c r="C69" s="23"/>
      <c r="D69" s="23"/>
      <c r="E69" s="23"/>
      <c r="F69" s="23"/>
      <c r="G69" s="11"/>
      <c r="H69" t="s">
        <v>198</v>
      </c>
      <c r="I69" s="15" t="str">
        <f t="shared" si="6"/>
        <v>shiptopincode</v>
      </c>
      <c r="J69" s="11" t="str">
        <f t="shared" si="7"/>
        <v>zcy_det_shiptopincode</v>
      </c>
      <c r="K69" t="s">
        <v>198</v>
      </c>
      <c r="L69" s="17" t="s">
        <v>703</v>
      </c>
      <c r="M69" s="23"/>
      <c r="N69" s="23"/>
      <c r="O69" s="23"/>
      <c r="P69" s="11"/>
      <c r="Q69" t="s">
        <v>198</v>
      </c>
      <c r="R69" s="15" t="str">
        <f t="shared" si="3"/>
        <v>shiptopincode</v>
      </c>
      <c r="S69" s="11" t="str">
        <f t="shared" si="4"/>
        <v>abap.char(6);</v>
      </c>
      <c r="V69" t="str">
        <f t="shared" si="5"/>
        <v xml:space="preserve">  shiptopincode                   : zcy_det_shiptopincode;</v>
      </c>
      <c r="W69" t="str">
        <f>IFERROR(INDEX('[1]Resolved Data Elem'!$E$4:$E$1070,MATCH(J69,'[1]Resolved Data Elem'!$D$4:$D$1070,0)),"--")</f>
        <v>--</v>
      </c>
    </row>
    <row r="70" spans="2:23" x14ac:dyDescent="0.25">
      <c r="B70" s="22" t="s">
        <v>515</v>
      </c>
      <c r="C70" s="23"/>
      <c r="D70" s="23"/>
      <c r="E70" s="23"/>
      <c r="F70" s="23"/>
      <c r="G70" s="11"/>
      <c r="H70" t="s">
        <v>198</v>
      </c>
      <c r="I70" s="15" t="str">
        <f t="shared" si="6"/>
        <v>paymenttype</v>
      </c>
      <c r="J70" s="11" t="str">
        <f t="shared" si="7"/>
        <v>zcy_det_paymenttype</v>
      </c>
      <c r="K70" t="s">
        <v>198</v>
      </c>
      <c r="L70" s="17" t="s">
        <v>704</v>
      </c>
      <c r="M70" s="23"/>
      <c r="N70" s="23"/>
      <c r="O70" s="23"/>
      <c r="P70" s="11"/>
      <c r="Q70" t="s">
        <v>198</v>
      </c>
      <c r="R70" s="15" t="str">
        <f t="shared" si="3"/>
        <v>paymenttype</v>
      </c>
      <c r="S70" s="11" t="str">
        <f t="shared" si="4"/>
        <v>abap.char(2);</v>
      </c>
      <c r="V70" t="str">
        <f t="shared" si="5"/>
        <v xml:space="preserve">  paymenttype                    : zcy_det_paymenttype;</v>
      </c>
      <c r="W70" t="str">
        <f>IFERROR(INDEX('[1]Resolved Data Elem'!$E$4:$E$1070,MATCH(J70,'[1]Resolved Data Elem'!$D$4:$D$1070,0)),"--")</f>
        <v>--</v>
      </c>
    </row>
    <row r="71" spans="2:23" x14ac:dyDescent="0.25">
      <c r="B71" s="22" t="s">
        <v>516</v>
      </c>
      <c r="C71" s="23"/>
      <c r="D71" s="23"/>
      <c r="E71" s="23"/>
      <c r="F71" s="23"/>
      <c r="G71" s="11"/>
      <c r="H71" t="s">
        <v>198</v>
      </c>
      <c r="I71" s="15" t="str">
        <f t="shared" si="6"/>
        <v>paymentmode</v>
      </c>
      <c r="J71" s="11" t="str">
        <f t="shared" si="7"/>
        <v>zcy_det_paymentmode</v>
      </c>
      <c r="K71" t="s">
        <v>198</v>
      </c>
      <c r="L71" s="17" t="s">
        <v>856</v>
      </c>
      <c r="M71" s="23"/>
      <c r="N71" s="23"/>
      <c r="O71" s="23"/>
      <c r="P71" s="11"/>
      <c r="Q71" t="s">
        <v>198</v>
      </c>
      <c r="R71" s="15" t="str">
        <f t="shared" si="3"/>
        <v>paymentmode</v>
      </c>
      <c r="S71" s="11" t="str">
        <f t="shared" si="4"/>
        <v>abap.char(18);</v>
      </c>
      <c r="V71" t="str">
        <f t="shared" si="5"/>
        <v xml:space="preserve">  paymentmode                    : zcy_det_paymentmode;</v>
      </c>
      <c r="W71" t="str">
        <f>IFERROR(INDEX('[1]Resolved Data Elem'!$E$4:$E$1070,MATCH(J71,'[1]Resolved Data Elem'!$D$4:$D$1070,0)),"--")</f>
        <v>--</v>
      </c>
    </row>
    <row r="72" spans="2:23" x14ac:dyDescent="0.25">
      <c r="B72" s="22" t="s">
        <v>113</v>
      </c>
      <c r="C72" s="23"/>
      <c r="D72" s="23"/>
      <c r="E72" s="23"/>
      <c r="F72" s="23"/>
      <c r="G72" s="11"/>
      <c r="H72" t="s">
        <v>198</v>
      </c>
      <c r="I72" s="15" t="str">
        <f t="shared" si="6"/>
        <v>@Semantics.amount.currencyCode</v>
      </c>
      <c r="J72" s="11" t="str">
        <f t="shared" si="7"/>
        <v>'vbak.waerk'</v>
      </c>
      <c r="K72" t="s">
        <v>198</v>
      </c>
      <c r="L72" s="10" t="s">
        <v>857</v>
      </c>
      <c r="M72" s="23"/>
      <c r="N72" s="23"/>
      <c r="O72" s="23"/>
      <c r="P72" s="11"/>
      <c r="Q72" t="s">
        <v>198</v>
      </c>
      <c r="R72" s="15" t="str">
        <f t="shared" si="3"/>
        <v>@Semantics.amount.currencyCode</v>
      </c>
      <c r="S72" s="11" t="str">
        <f t="shared" si="4"/>
        <v>'vbak.waerk'</v>
      </c>
      <c r="V72" t="str">
        <f t="shared" si="5"/>
        <v xml:space="preserve">  @Semantics.amount.currencyCode : 'vbak.waerk'</v>
      </c>
      <c r="W72" t="str">
        <f>IFERROR(INDEX('[1]Resolved Data Elem'!$E$4:$E$1070,MATCH(J72,'[1]Resolved Data Elem'!$D$4:$D$1070,0)),"--")</f>
        <v>--</v>
      </c>
    </row>
    <row r="73" spans="2:23" x14ac:dyDescent="0.25">
      <c r="B73" s="22" t="s">
        <v>517</v>
      </c>
      <c r="C73" s="23"/>
      <c r="D73" s="23"/>
      <c r="E73" s="23"/>
      <c r="F73" s="23"/>
      <c r="G73" s="11"/>
      <c r="H73" t="s">
        <v>198</v>
      </c>
      <c r="I73" s="15" t="str">
        <f t="shared" si="6"/>
        <v>paymentamount</v>
      </c>
      <c r="J73" s="11" t="str">
        <f t="shared" si="7"/>
        <v>zcy_det_paymentamount</v>
      </c>
      <c r="K73" t="s">
        <v>198</v>
      </c>
      <c r="L73" s="17" t="s">
        <v>858</v>
      </c>
      <c r="M73" s="23"/>
      <c r="N73" s="23"/>
      <c r="O73" s="23"/>
      <c r="P73" s="11"/>
      <c r="Q73" t="s">
        <v>198</v>
      </c>
      <c r="R73" s="15" t="str">
        <f t="shared" si="3"/>
        <v>paymentamount</v>
      </c>
      <c r="S73" s="11" t="str">
        <f t="shared" si="4"/>
        <v>abap.curr(13,2);</v>
      </c>
      <c r="V73" t="str">
        <f t="shared" si="5"/>
        <v xml:space="preserve">  paymentamount                  : zcy_det_paymentamount;</v>
      </c>
      <c r="W73" t="str">
        <f>IFERROR(INDEX('[1]Resolved Data Elem'!$E$4:$E$1070,MATCH(J73,'[1]Resolved Data Elem'!$D$4:$D$1070,0)),"--")</f>
        <v>--</v>
      </c>
    </row>
    <row r="74" spans="2:23" x14ac:dyDescent="0.25">
      <c r="B74" s="22" t="s">
        <v>113</v>
      </c>
      <c r="C74" s="23"/>
      <c r="D74" s="23"/>
      <c r="E74" s="23"/>
      <c r="F74" s="23"/>
      <c r="G74" s="11"/>
      <c r="H74" t="s">
        <v>198</v>
      </c>
      <c r="I74" s="15" t="str">
        <f t="shared" si="6"/>
        <v>@Semantics.amount.currencyCode</v>
      </c>
      <c r="J74" s="11" t="str">
        <f t="shared" si="7"/>
        <v>'vbak.waerk'</v>
      </c>
      <c r="K74" t="s">
        <v>198</v>
      </c>
      <c r="L74" s="10" t="s">
        <v>857</v>
      </c>
      <c r="M74" s="23"/>
      <c r="N74" s="23"/>
      <c r="O74" s="23"/>
      <c r="P74" s="11"/>
      <c r="Q74" t="s">
        <v>198</v>
      </c>
      <c r="R74" s="15" t="str">
        <f t="shared" ref="R74:R137" si="8">TRIM(SUBSTITUTE(MID(L74,1,FIND(":",L74)-1),"key",""))</f>
        <v>@Semantics.amount.currencyCode</v>
      </c>
      <c r="S74" s="11" t="str">
        <f t="shared" ref="S74:S137" si="9">TRIM(MID(L74,FIND(":",L74)+1,LEN(L74)))</f>
        <v>'vbak.waerk'</v>
      </c>
      <c r="V74" t="str">
        <f t="shared" ref="V74:V137" si="10">IF(OR(ISERROR(W74),W74="--"),B74,IF(ISNUMBER(SEARCH("@",I74)),B74,I74&amp;"  :  "&amp;IF(W74="",J74,W74)))</f>
        <v xml:space="preserve">  @Semantics.amount.currencyCode : 'vbak.waerk'</v>
      </c>
      <c r="W74" t="str">
        <f>IFERROR(INDEX('[1]Resolved Data Elem'!$E$4:$E$1070,MATCH(J74,'[1]Resolved Data Elem'!$D$4:$D$1070,0)),"--")</f>
        <v>--</v>
      </c>
    </row>
    <row r="75" spans="2:23" x14ac:dyDescent="0.25">
      <c r="B75" s="22" t="s">
        <v>518</v>
      </c>
      <c r="C75" s="23"/>
      <c r="D75" s="23"/>
      <c r="E75" s="23"/>
      <c r="F75" s="23"/>
      <c r="G75" s="11"/>
      <c r="H75" t="s">
        <v>198</v>
      </c>
      <c r="I75" s="15" t="str">
        <f t="shared" ref="I75:I138" si="11">IF(B75="","",TRIM(MID(B75,1,FIND(":",B75)-1)))</f>
        <v>advancepaidamount</v>
      </c>
      <c r="J75" s="11" t="str">
        <f t="shared" ref="J75:J138" si="12">IF(B75="","",TRIM(SUBSTITUTE(SUBSTITUTE(TRIM(MID(B75,FIND(":",B75)+1,LEN(B75))),";",""),"not null","")))</f>
        <v>zcy_det_advancepaidamount</v>
      </c>
      <c r="K75" t="s">
        <v>198</v>
      </c>
      <c r="L75" s="17" t="s">
        <v>859</v>
      </c>
      <c r="M75" s="23"/>
      <c r="N75" s="23"/>
      <c r="O75" s="23"/>
      <c r="P75" s="11"/>
      <c r="Q75" t="s">
        <v>198</v>
      </c>
      <c r="R75" s="15" t="str">
        <f t="shared" si="8"/>
        <v>advancepaidamount</v>
      </c>
      <c r="S75" s="11" t="str">
        <f t="shared" si="9"/>
        <v>abap.curr(13,2);</v>
      </c>
      <c r="V75" t="str">
        <f t="shared" si="10"/>
        <v xml:space="preserve">  advancepaidamount              : zcy_det_advancepaidamount;</v>
      </c>
      <c r="W75" t="str">
        <f>IFERROR(INDEX('[1]Resolved Data Elem'!$E$4:$E$1070,MATCH(J75,'[1]Resolved Data Elem'!$D$4:$D$1070,0)),"--")</f>
        <v>--</v>
      </c>
    </row>
    <row r="76" spans="2:23" x14ac:dyDescent="0.25">
      <c r="B76" s="22" t="s">
        <v>519</v>
      </c>
      <c r="C76" s="23"/>
      <c r="D76" s="23"/>
      <c r="E76" s="23"/>
      <c r="F76" s="23"/>
      <c r="G76" s="11"/>
      <c r="H76" t="s">
        <v>198</v>
      </c>
      <c r="I76" s="15" t="str">
        <f t="shared" si="11"/>
        <v>paymentdate</v>
      </c>
      <c r="J76" s="11" t="str">
        <f t="shared" si="12"/>
        <v>zcy_det_paymentdate</v>
      </c>
      <c r="K76" t="s">
        <v>198</v>
      </c>
      <c r="L76" s="17" t="s">
        <v>705</v>
      </c>
      <c r="M76" s="23"/>
      <c r="N76" s="23"/>
      <c r="O76" s="23"/>
      <c r="P76" s="11"/>
      <c r="Q76" t="s">
        <v>198</v>
      </c>
      <c r="R76" s="15" t="str">
        <f t="shared" si="8"/>
        <v>paymentdate</v>
      </c>
      <c r="S76" s="11" t="str">
        <f t="shared" si="9"/>
        <v>abap.char(10);</v>
      </c>
      <c r="V76" t="str">
        <f t="shared" si="10"/>
        <v xml:space="preserve">  paymentdate                    : zcy_det_paymentdate;</v>
      </c>
      <c r="W76" t="str">
        <f>IFERROR(INDEX('[1]Resolved Data Elem'!$E$4:$E$1070,MATCH(J76,'[1]Resolved Data Elem'!$D$4:$D$1070,0)),"--")</f>
        <v>--</v>
      </c>
    </row>
    <row r="77" spans="2:23" x14ac:dyDescent="0.25">
      <c r="B77" s="22" t="s">
        <v>520</v>
      </c>
      <c r="C77" s="23"/>
      <c r="D77" s="23"/>
      <c r="E77" s="23"/>
      <c r="F77" s="23"/>
      <c r="G77" s="11"/>
      <c r="H77" t="s">
        <v>198</v>
      </c>
      <c r="I77" s="15" t="str">
        <f t="shared" si="11"/>
        <v>paymentremarks</v>
      </c>
      <c r="J77" s="11" t="str">
        <f t="shared" si="12"/>
        <v>zcy_det_paymentremarks</v>
      </c>
      <c r="K77" t="s">
        <v>198</v>
      </c>
      <c r="L77" s="17" t="s">
        <v>860</v>
      </c>
      <c r="M77" s="23"/>
      <c r="N77" s="23"/>
      <c r="O77" s="23"/>
      <c r="P77" s="11"/>
      <c r="Q77" t="s">
        <v>198</v>
      </c>
      <c r="R77" s="15" t="str">
        <f t="shared" si="8"/>
        <v>paymentremarks</v>
      </c>
      <c r="S77" s="11" t="str">
        <f t="shared" si="9"/>
        <v>abap.char(40);</v>
      </c>
      <c r="V77" t="str">
        <f t="shared" si="10"/>
        <v xml:space="preserve">  paymentremarks                 : zcy_det_paymentremarks;</v>
      </c>
      <c r="W77" t="str">
        <f>IFERROR(INDEX('[1]Resolved Data Elem'!$E$4:$E$1070,MATCH(J77,'[1]Resolved Data Elem'!$D$4:$D$1070,0)),"--")</f>
        <v>--</v>
      </c>
    </row>
    <row r="78" spans="2:23" x14ac:dyDescent="0.25">
      <c r="B78" s="22" t="s">
        <v>521</v>
      </c>
      <c r="C78" s="23"/>
      <c r="D78" s="23"/>
      <c r="E78" s="23"/>
      <c r="F78" s="23"/>
      <c r="G78" s="11"/>
      <c r="H78" t="s">
        <v>198</v>
      </c>
      <c r="I78" s="15" t="str">
        <f t="shared" si="11"/>
        <v>paymentterms</v>
      </c>
      <c r="J78" s="11" t="str">
        <f t="shared" si="12"/>
        <v>zcy_det_paymentterms</v>
      </c>
      <c r="K78" t="s">
        <v>198</v>
      </c>
      <c r="L78" s="17" t="s">
        <v>861</v>
      </c>
      <c r="M78" s="23"/>
      <c r="N78" s="23"/>
      <c r="O78" s="23"/>
      <c r="P78" s="11"/>
      <c r="Q78" t="s">
        <v>198</v>
      </c>
      <c r="R78" s="15" t="str">
        <f t="shared" si="8"/>
        <v>paymentterms</v>
      </c>
      <c r="S78" s="11" t="str">
        <f t="shared" si="9"/>
        <v>abap.char(40);</v>
      </c>
      <c r="V78" t="str">
        <f t="shared" si="10"/>
        <v xml:space="preserve">  paymentterms                   : zcy_det_paymentterms;</v>
      </c>
      <c r="W78" t="str">
        <f>IFERROR(INDEX('[1]Resolved Data Elem'!$E$4:$E$1070,MATCH(J78,'[1]Resolved Data Elem'!$D$4:$D$1070,0)),"--")</f>
        <v>--</v>
      </c>
    </row>
    <row r="79" spans="2:23" x14ac:dyDescent="0.25">
      <c r="B79" s="22" t="s">
        <v>522</v>
      </c>
      <c r="C79" s="23"/>
      <c r="D79" s="23"/>
      <c r="E79" s="23"/>
      <c r="F79" s="23"/>
      <c r="G79" s="11"/>
      <c r="H79" t="s">
        <v>198</v>
      </c>
      <c r="I79" s="15" t="str">
        <f t="shared" si="11"/>
        <v>paymentinstruction</v>
      </c>
      <c r="J79" s="11" t="str">
        <f t="shared" si="12"/>
        <v>zcy_det_paymentinstruction</v>
      </c>
      <c r="K79" t="s">
        <v>198</v>
      </c>
      <c r="L79" s="17" t="s">
        <v>862</v>
      </c>
      <c r="M79" s="23"/>
      <c r="N79" s="23"/>
      <c r="O79" s="23"/>
      <c r="P79" s="11"/>
      <c r="Q79" t="s">
        <v>198</v>
      </c>
      <c r="R79" s="15" t="str">
        <f t="shared" si="8"/>
        <v>paymentinstruction</v>
      </c>
      <c r="S79" s="11" t="str">
        <f t="shared" si="9"/>
        <v>abap.char(10);</v>
      </c>
      <c r="V79" t="str">
        <f t="shared" si="10"/>
        <v xml:space="preserve">  paymentinstruction             : zcy_det_paymentinstruction;</v>
      </c>
      <c r="W79" t="str">
        <f>IFERROR(INDEX('[1]Resolved Data Elem'!$E$4:$E$1070,MATCH(J79,'[1]Resolved Data Elem'!$D$4:$D$1070,0)),"--")</f>
        <v>--</v>
      </c>
    </row>
    <row r="80" spans="2:23" x14ac:dyDescent="0.25">
      <c r="B80" s="22" t="s">
        <v>523</v>
      </c>
      <c r="C80" s="23"/>
      <c r="D80" s="23"/>
      <c r="E80" s="23"/>
      <c r="F80" s="23"/>
      <c r="G80" s="11"/>
      <c r="H80" t="s">
        <v>198</v>
      </c>
      <c r="I80" s="15" t="str">
        <f t="shared" si="11"/>
        <v>payeename</v>
      </c>
      <c r="J80" s="11" t="str">
        <f t="shared" si="12"/>
        <v>zcy_det_payeename</v>
      </c>
      <c r="K80" t="s">
        <v>198</v>
      </c>
      <c r="L80" s="17" t="s">
        <v>863</v>
      </c>
      <c r="M80" s="23"/>
      <c r="N80" s="23"/>
      <c r="O80" s="23"/>
      <c r="P80" s="11"/>
      <c r="Q80" t="s">
        <v>198</v>
      </c>
      <c r="R80" s="15" t="str">
        <f t="shared" si="8"/>
        <v>payeename</v>
      </c>
      <c r="S80" s="11" t="str">
        <f t="shared" si="9"/>
        <v>abap.char(40);</v>
      </c>
      <c r="V80" t="str">
        <f t="shared" si="10"/>
        <v xml:space="preserve">  payeename                      : zcy_det_payeename;</v>
      </c>
      <c r="W80" t="str">
        <f>IFERROR(INDEX('[1]Resolved Data Elem'!$E$4:$E$1070,MATCH(J80,'[1]Resolved Data Elem'!$D$4:$D$1070,0)),"--")</f>
        <v>--</v>
      </c>
    </row>
    <row r="81" spans="2:23" x14ac:dyDescent="0.25">
      <c r="B81" s="22" t="s">
        <v>524</v>
      </c>
      <c r="C81" s="23"/>
      <c r="D81" s="23"/>
      <c r="E81" s="23"/>
      <c r="F81" s="23"/>
      <c r="G81" s="11"/>
      <c r="H81" t="s">
        <v>198</v>
      </c>
      <c r="I81" s="15" t="str">
        <f t="shared" si="11"/>
        <v>payeeaccountnumber</v>
      </c>
      <c r="J81" s="11" t="str">
        <f t="shared" si="12"/>
        <v>zcy_det_payeeaccountnumber</v>
      </c>
      <c r="K81" t="s">
        <v>198</v>
      </c>
      <c r="L81" s="17" t="s">
        <v>706</v>
      </c>
      <c r="M81" s="23"/>
      <c r="N81" s="23"/>
      <c r="O81" s="23"/>
      <c r="P81" s="11"/>
      <c r="Q81" t="s">
        <v>198</v>
      </c>
      <c r="R81" s="15" t="str">
        <f t="shared" si="8"/>
        <v>payeeaccountnumber</v>
      </c>
      <c r="S81" s="11" t="str">
        <f t="shared" si="9"/>
        <v>abap.char(18);</v>
      </c>
      <c r="V81" t="str">
        <f t="shared" si="10"/>
        <v xml:space="preserve">  payeeaccountnumber             : zcy_det_payeeaccountnumber;</v>
      </c>
      <c r="W81" t="str">
        <f>IFERROR(INDEX('[1]Resolved Data Elem'!$E$4:$E$1070,MATCH(J81,'[1]Resolved Data Elem'!$D$4:$D$1070,0)),"--")</f>
        <v>--</v>
      </c>
    </row>
    <row r="82" spans="2:23" x14ac:dyDescent="0.25">
      <c r="B82" s="22" t="s">
        <v>113</v>
      </c>
      <c r="C82" s="23"/>
      <c r="D82" s="23"/>
      <c r="E82" s="23"/>
      <c r="F82" s="23"/>
      <c r="G82" s="11"/>
      <c r="H82" t="s">
        <v>198</v>
      </c>
      <c r="I82" s="15" t="str">
        <f t="shared" si="11"/>
        <v>@Semantics.amount.currencyCode</v>
      </c>
      <c r="J82" s="11" t="str">
        <f t="shared" si="12"/>
        <v>'vbak.waerk'</v>
      </c>
      <c r="K82" t="s">
        <v>198</v>
      </c>
      <c r="L82" s="10" t="s">
        <v>857</v>
      </c>
      <c r="M82" s="23"/>
      <c r="N82" s="23"/>
      <c r="O82" s="23"/>
      <c r="P82" s="11"/>
      <c r="Q82" t="s">
        <v>198</v>
      </c>
      <c r="R82" s="15" t="str">
        <f t="shared" si="8"/>
        <v>@Semantics.amount.currencyCode</v>
      </c>
      <c r="S82" s="11" t="str">
        <f t="shared" si="9"/>
        <v>'vbak.waerk'</v>
      </c>
      <c r="V82" t="str">
        <f t="shared" si="10"/>
        <v xml:space="preserve">  @Semantics.amount.currencyCode : 'vbak.waerk'</v>
      </c>
      <c r="W82" t="str">
        <f>IFERROR(INDEX('[1]Resolved Data Elem'!$E$4:$E$1070,MATCH(J82,'[1]Resolved Data Elem'!$D$4:$D$1070,0)),"--")</f>
        <v>--</v>
      </c>
    </row>
    <row r="83" spans="2:23" x14ac:dyDescent="0.25">
      <c r="B83" s="22" t="s">
        <v>525</v>
      </c>
      <c r="C83" s="23"/>
      <c r="D83" s="23"/>
      <c r="E83" s="23"/>
      <c r="F83" s="23"/>
      <c r="G83" s="11"/>
      <c r="H83" t="s">
        <v>198</v>
      </c>
      <c r="I83" s="15" t="str">
        <f t="shared" si="11"/>
        <v>paymentamountdue</v>
      </c>
      <c r="J83" s="11" t="str">
        <f t="shared" si="12"/>
        <v>zcy_det_paymentamountdue</v>
      </c>
      <c r="K83" t="s">
        <v>198</v>
      </c>
      <c r="L83" s="17" t="s">
        <v>864</v>
      </c>
      <c r="M83" s="23"/>
      <c r="N83" s="23"/>
      <c r="O83" s="23"/>
      <c r="P83" s="11"/>
      <c r="Q83" t="s">
        <v>198</v>
      </c>
      <c r="R83" s="15" t="str">
        <f t="shared" si="8"/>
        <v>paymentamountdue</v>
      </c>
      <c r="S83" s="11" t="str">
        <f t="shared" si="9"/>
        <v>abap.curr(13,2);</v>
      </c>
      <c r="V83" t="str">
        <f t="shared" si="10"/>
        <v xml:space="preserve">  paymentamountdue               : zcy_det_paymentamountdue;</v>
      </c>
      <c r="W83" t="str">
        <f>IFERROR(INDEX('[1]Resolved Data Elem'!$E$4:$E$1070,MATCH(J83,'[1]Resolved Data Elem'!$D$4:$D$1070,0)),"--")</f>
        <v>--</v>
      </c>
    </row>
    <row r="84" spans="2:23" x14ac:dyDescent="0.25">
      <c r="B84" s="22" t="s">
        <v>526</v>
      </c>
      <c r="C84" s="23"/>
      <c r="D84" s="23"/>
      <c r="E84" s="23"/>
      <c r="F84" s="23"/>
      <c r="G84" s="11"/>
      <c r="H84" t="s">
        <v>198</v>
      </c>
      <c r="I84" s="15" t="str">
        <f t="shared" si="11"/>
        <v>ifsc</v>
      </c>
      <c r="J84" s="11" t="str">
        <f t="shared" si="12"/>
        <v>zcy_det_ifsc</v>
      </c>
      <c r="K84" t="s">
        <v>198</v>
      </c>
      <c r="L84" s="17" t="s">
        <v>707</v>
      </c>
      <c r="M84" s="23"/>
      <c r="N84" s="23"/>
      <c r="O84" s="23"/>
      <c r="P84" s="11"/>
      <c r="Q84" t="s">
        <v>198</v>
      </c>
      <c r="R84" s="15" t="str">
        <f t="shared" si="8"/>
        <v>ifsc</v>
      </c>
      <c r="S84" s="11" t="str">
        <f t="shared" si="9"/>
        <v>abap.char(11);</v>
      </c>
      <c r="V84" t="str">
        <f t="shared" si="10"/>
        <v xml:space="preserve">  ifsc                           : zcy_det_ifsc;</v>
      </c>
      <c r="W84" t="str">
        <f>IFERROR(INDEX('[1]Resolved Data Elem'!$E$4:$E$1070,MATCH(J84,'[1]Resolved Data Elem'!$D$4:$D$1070,0)),"--")</f>
        <v>--</v>
      </c>
    </row>
    <row r="85" spans="2:23" x14ac:dyDescent="0.25">
      <c r="B85" s="22" t="s">
        <v>527</v>
      </c>
      <c r="C85" s="23"/>
      <c r="D85" s="23"/>
      <c r="E85" s="23"/>
      <c r="F85" s="23"/>
      <c r="G85" s="11"/>
      <c r="H85" t="s">
        <v>198</v>
      </c>
      <c r="I85" s="15" t="str">
        <f t="shared" si="11"/>
        <v>credittransfer</v>
      </c>
      <c r="J85" s="11" t="str">
        <f t="shared" si="12"/>
        <v>zcy_det_credittransfer</v>
      </c>
      <c r="K85" t="s">
        <v>198</v>
      </c>
      <c r="L85" s="17" t="s">
        <v>865</v>
      </c>
      <c r="M85" s="23"/>
      <c r="N85" s="23"/>
      <c r="O85" s="23"/>
      <c r="P85" s="11"/>
      <c r="Q85" t="s">
        <v>198</v>
      </c>
      <c r="R85" s="15" t="str">
        <f t="shared" si="8"/>
        <v>credittransfer</v>
      </c>
      <c r="S85" s="11" t="str">
        <f t="shared" si="9"/>
        <v>abap.char(40);</v>
      </c>
      <c r="V85" t="str">
        <f t="shared" si="10"/>
        <v xml:space="preserve">  credittransfer                 : zcy_det_credittransfer;</v>
      </c>
      <c r="W85" t="str">
        <f>IFERROR(INDEX('[1]Resolved Data Elem'!$E$4:$E$1070,MATCH(J85,'[1]Resolved Data Elem'!$D$4:$D$1070,0)),"--")</f>
        <v>--</v>
      </c>
    </row>
    <row r="86" spans="2:23" x14ac:dyDescent="0.25">
      <c r="B86" s="22" t="s">
        <v>528</v>
      </c>
      <c r="C86" s="23"/>
      <c r="D86" s="23"/>
      <c r="E86" s="23"/>
      <c r="F86" s="23"/>
      <c r="G86" s="11"/>
      <c r="H86" t="s">
        <v>198</v>
      </c>
      <c r="I86" s="15" t="str">
        <f t="shared" si="11"/>
        <v>directdebit</v>
      </c>
      <c r="J86" s="11" t="str">
        <f t="shared" si="12"/>
        <v>zcy_det_directdebit</v>
      </c>
      <c r="K86" t="s">
        <v>198</v>
      </c>
      <c r="L86" s="17" t="s">
        <v>866</v>
      </c>
      <c r="M86" s="23"/>
      <c r="N86" s="23"/>
      <c r="O86" s="23"/>
      <c r="P86" s="11"/>
      <c r="Q86" t="s">
        <v>198</v>
      </c>
      <c r="R86" s="15" t="str">
        <f t="shared" si="8"/>
        <v>directdebit</v>
      </c>
      <c r="S86" s="11" t="str">
        <f t="shared" si="9"/>
        <v>abap.char(10);</v>
      </c>
      <c r="V86" t="str">
        <f t="shared" si="10"/>
        <v xml:space="preserve">  directdebit                    : zcy_det_directdebit;</v>
      </c>
      <c r="W86" t="str">
        <f>IFERROR(INDEX('[1]Resolved Data Elem'!$E$4:$E$1070,MATCH(J86,'[1]Resolved Data Elem'!$D$4:$D$1070,0)),"--")</f>
        <v>--</v>
      </c>
    </row>
    <row r="87" spans="2:23" x14ac:dyDescent="0.25">
      <c r="B87" s="22" t="s">
        <v>529</v>
      </c>
      <c r="C87" s="23"/>
      <c r="D87" s="23"/>
      <c r="E87" s="23"/>
      <c r="F87" s="23"/>
      <c r="G87" s="11"/>
      <c r="H87" t="s">
        <v>198</v>
      </c>
      <c r="I87" s="15" t="str">
        <f t="shared" si="11"/>
        <v>creditdays</v>
      </c>
      <c r="J87" s="11" t="str">
        <f t="shared" si="12"/>
        <v>zcy_det_creditdays</v>
      </c>
      <c r="K87" t="s">
        <v>198</v>
      </c>
      <c r="L87" s="17" t="s">
        <v>867</v>
      </c>
      <c r="M87" s="23"/>
      <c r="N87" s="23"/>
      <c r="O87" s="23"/>
      <c r="P87" s="11"/>
      <c r="Q87" t="s">
        <v>198</v>
      </c>
      <c r="R87" s="15" t="str">
        <f t="shared" si="8"/>
        <v>creditdays</v>
      </c>
      <c r="S87" s="11" t="str">
        <f t="shared" si="9"/>
        <v>abap.char(4);</v>
      </c>
      <c r="V87" t="str">
        <f t="shared" si="10"/>
        <v xml:space="preserve">  creditdays                     : zcy_det_creditdays;</v>
      </c>
      <c r="W87" t="str">
        <f>IFERROR(INDEX('[1]Resolved Data Elem'!$E$4:$E$1070,MATCH(J87,'[1]Resolved Data Elem'!$D$4:$D$1070,0)),"--")</f>
        <v>--</v>
      </c>
    </row>
    <row r="88" spans="2:23" x14ac:dyDescent="0.25">
      <c r="B88" s="22" t="s">
        <v>530</v>
      </c>
      <c r="C88" s="23"/>
      <c r="D88" s="23"/>
      <c r="E88" s="23"/>
      <c r="F88" s="23"/>
      <c r="G88" s="11"/>
      <c r="H88" t="s">
        <v>198</v>
      </c>
      <c r="I88" s="15" t="str">
        <f t="shared" si="11"/>
        <v>creditavaileddate</v>
      </c>
      <c r="J88" s="11" t="str">
        <f t="shared" si="12"/>
        <v>zcy_det_creditavaileddate</v>
      </c>
      <c r="K88" t="s">
        <v>198</v>
      </c>
      <c r="L88" s="17" t="s">
        <v>708</v>
      </c>
      <c r="M88" s="23"/>
      <c r="N88" s="23"/>
      <c r="O88" s="23"/>
      <c r="P88" s="11"/>
      <c r="Q88" t="s">
        <v>198</v>
      </c>
      <c r="R88" s="15" t="str">
        <f t="shared" si="8"/>
        <v>creditavaileddate</v>
      </c>
      <c r="S88" s="11" t="str">
        <f t="shared" si="9"/>
        <v>abap.char(8);</v>
      </c>
      <c r="V88" t="str">
        <f t="shared" si="10"/>
        <v xml:space="preserve">  creditavaileddate              : zcy_det_creditavaileddate;</v>
      </c>
      <c r="W88" t="str">
        <f>IFERROR(INDEX('[1]Resolved Data Elem'!$E$4:$E$1070,MATCH(J88,'[1]Resolved Data Elem'!$D$4:$D$1070,0)),"--")</f>
        <v>--</v>
      </c>
    </row>
    <row r="89" spans="2:23" x14ac:dyDescent="0.25">
      <c r="B89" s="22" t="s">
        <v>531</v>
      </c>
      <c r="C89" s="23"/>
      <c r="D89" s="23"/>
      <c r="E89" s="23"/>
      <c r="F89" s="23"/>
      <c r="G89" s="11"/>
      <c r="H89" t="s">
        <v>198</v>
      </c>
      <c r="I89" s="15" t="str">
        <f t="shared" si="11"/>
        <v>creditreversaldate</v>
      </c>
      <c r="J89" s="11" t="str">
        <f t="shared" si="12"/>
        <v>zcy_det_creditreversaldate</v>
      </c>
      <c r="K89" t="s">
        <v>198</v>
      </c>
      <c r="L89" s="17" t="s">
        <v>868</v>
      </c>
      <c r="M89" s="23"/>
      <c r="N89" s="23"/>
      <c r="O89" s="23"/>
      <c r="P89" s="11"/>
      <c r="Q89" t="s">
        <v>198</v>
      </c>
      <c r="R89" s="15" t="str">
        <f t="shared" si="8"/>
        <v>creditreversaldate</v>
      </c>
      <c r="S89" s="11" t="str">
        <f t="shared" si="9"/>
        <v>abap.char(10);</v>
      </c>
      <c r="V89" t="str">
        <f t="shared" si="10"/>
        <v xml:space="preserve">  creditreversaldate             : zcy_det_creditreversaldate;</v>
      </c>
      <c r="W89" t="str">
        <f>IFERROR(INDEX('[1]Resolved Data Elem'!$E$4:$E$1070,MATCH(J89,'[1]Resolved Data Elem'!$D$4:$D$1070,0)),"--")</f>
        <v>--</v>
      </c>
    </row>
    <row r="90" spans="2:23" x14ac:dyDescent="0.25">
      <c r="B90" s="22" t="s">
        <v>532</v>
      </c>
      <c r="C90" s="23"/>
      <c r="D90" s="23"/>
      <c r="E90" s="23"/>
      <c r="F90" s="23"/>
      <c r="G90" s="11"/>
      <c r="H90" t="s">
        <v>198</v>
      </c>
      <c r="I90" s="15" t="str">
        <f t="shared" si="11"/>
        <v>refdocumentremarks</v>
      </c>
      <c r="J90" s="11" t="str">
        <f t="shared" si="12"/>
        <v>zcy_det_refdocumentremarks</v>
      </c>
      <c r="K90" t="s">
        <v>198</v>
      </c>
      <c r="L90" s="17" t="s">
        <v>869</v>
      </c>
      <c r="M90" s="23"/>
      <c r="N90" s="23"/>
      <c r="O90" s="23"/>
      <c r="P90" s="11"/>
      <c r="Q90" t="s">
        <v>198</v>
      </c>
      <c r="R90" s="15" t="str">
        <f t="shared" si="8"/>
        <v>refdocumentremarks</v>
      </c>
      <c r="S90" s="11" t="str">
        <f t="shared" si="9"/>
        <v>abap.char(40);</v>
      </c>
      <c r="V90" t="str">
        <f t="shared" si="10"/>
        <v xml:space="preserve">  refdocumentremarks             : zcy_det_refdocumentremarks;</v>
      </c>
      <c r="W90" t="str">
        <f>IFERROR(INDEX('[1]Resolved Data Elem'!$E$4:$E$1070,MATCH(J90,'[1]Resolved Data Elem'!$D$4:$D$1070,0)),"--")</f>
        <v>--</v>
      </c>
    </row>
    <row r="91" spans="2:23" x14ac:dyDescent="0.25">
      <c r="B91" s="22" t="s">
        <v>533</v>
      </c>
      <c r="C91" s="23"/>
      <c r="D91" s="23"/>
      <c r="E91" s="23"/>
      <c r="F91" s="23"/>
      <c r="G91" s="11"/>
      <c r="H91" t="s">
        <v>198</v>
      </c>
      <c r="I91" s="15" t="str">
        <f t="shared" si="11"/>
        <v>refdocumentperiodstartdate</v>
      </c>
      <c r="J91" s="11" t="str">
        <f t="shared" si="12"/>
        <v>zcy_det_refdocumentperiodstart</v>
      </c>
      <c r="K91" t="s">
        <v>198</v>
      </c>
      <c r="L91" s="17" t="s">
        <v>870</v>
      </c>
      <c r="M91" s="23"/>
      <c r="N91" s="23"/>
      <c r="O91" s="23"/>
      <c r="P91" s="11"/>
      <c r="Q91" t="s">
        <v>198</v>
      </c>
      <c r="R91" s="15" t="str">
        <f t="shared" si="8"/>
        <v>refdocumentperiodstartdate</v>
      </c>
      <c r="S91" s="11" t="str">
        <f t="shared" si="9"/>
        <v>abap.char(10);</v>
      </c>
      <c r="V91" t="str">
        <f t="shared" si="10"/>
        <v xml:space="preserve">  refdocumentperiodstartdate     : zcy_det_refdocumentperiodstart;</v>
      </c>
      <c r="W91" t="str">
        <f>IFERROR(INDEX('[1]Resolved Data Elem'!$E$4:$E$1070,MATCH(J91,'[1]Resolved Data Elem'!$D$4:$D$1070,0)),"--")</f>
        <v>--</v>
      </c>
    </row>
    <row r="92" spans="2:23" x14ac:dyDescent="0.25">
      <c r="B92" s="22" t="s">
        <v>534</v>
      </c>
      <c r="C92" s="23"/>
      <c r="D92" s="23"/>
      <c r="E92" s="23"/>
      <c r="F92" s="23"/>
      <c r="G92" s="11"/>
      <c r="H92" t="s">
        <v>198</v>
      </c>
      <c r="I92" s="15" t="str">
        <f t="shared" si="11"/>
        <v>refdocumentperiodenddate</v>
      </c>
      <c r="J92" s="11" t="str">
        <f t="shared" si="12"/>
        <v>zcy_det_refdocumentperiodendda</v>
      </c>
      <c r="K92" t="s">
        <v>198</v>
      </c>
      <c r="L92" s="17" t="s">
        <v>871</v>
      </c>
      <c r="M92" s="23"/>
      <c r="N92" s="23"/>
      <c r="O92" s="23"/>
      <c r="P92" s="11"/>
      <c r="Q92" t="s">
        <v>198</v>
      </c>
      <c r="R92" s="15" t="str">
        <f t="shared" si="8"/>
        <v>refdocumentperiodenddate</v>
      </c>
      <c r="S92" s="11" t="str">
        <f t="shared" si="9"/>
        <v>abap.char(10);</v>
      </c>
      <c r="V92" t="str">
        <f t="shared" si="10"/>
        <v xml:space="preserve">  refdocumentperiodenddate       : zcy_det_refdocumentperiodendda;</v>
      </c>
      <c r="W92" t="str">
        <f>IFERROR(INDEX('[1]Resolved Data Elem'!$E$4:$E$1070,MATCH(J92,'[1]Resolved Data Elem'!$D$4:$D$1070,0)),"--")</f>
        <v>--</v>
      </c>
    </row>
    <row r="93" spans="2:23" x14ac:dyDescent="0.25">
      <c r="B93" s="22" t="s">
        <v>535</v>
      </c>
      <c r="C93" s="23"/>
      <c r="D93" s="23"/>
      <c r="E93" s="23"/>
      <c r="F93" s="23"/>
      <c r="G93" s="11"/>
      <c r="H93" t="s">
        <v>198</v>
      </c>
      <c r="I93" s="15" t="str">
        <f t="shared" si="11"/>
        <v>invno</v>
      </c>
      <c r="J93" s="11" t="str">
        <f t="shared" si="12"/>
        <v>zcy_det_invno</v>
      </c>
      <c r="K93" t="s">
        <v>198</v>
      </c>
      <c r="L93" s="17" t="s">
        <v>872</v>
      </c>
      <c r="M93" s="23"/>
      <c r="N93" s="23"/>
      <c r="O93" s="23"/>
      <c r="P93" s="11"/>
      <c r="Q93" t="s">
        <v>198</v>
      </c>
      <c r="R93" s="15" t="str">
        <f t="shared" si="8"/>
        <v>invno</v>
      </c>
      <c r="S93" s="11" t="str">
        <f t="shared" si="9"/>
        <v>abap.char(16);</v>
      </c>
      <c r="V93" t="str">
        <f t="shared" si="10"/>
        <v xml:space="preserve">  invno                          : zcy_det_invno;</v>
      </c>
      <c r="W93" t="str">
        <f>IFERROR(INDEX('[1]Resolved Data Elem'!$E$4:$E$1070,MATCH(J93,'[1]Resolved Data Elem'!$D$4:$D$1070,0)),"--")</f>
        <v>--</v>
      </c>
    </row>
    <row r="94" spans="2:23" x14ac:dyDescent="0.25">
      <c r="B94" s="22" t="s">
        <v>536</v>
      </c>
      <c r="C94" s="23"/>
      <c r="D94" s="23"/>
      <c r="E94" s="23"/>
      <c r="F94" s="23"/>
      <c r="G94" s="11"/>
      <c r="H94" t="s">
        <v>198</v>
      </c>
      <c r="I94" s="15" t="str">
        <f t="shared" si="11"/>
        <v>invdt</v>
      </c>
      <c r="J94" s="11" t="str">
        <f t="shared" si="12"/>
        <v>zcy_det_invdt</v>
      </c>
      <c r="K94" t="s">
        <v>198</v>
      </c>
      <c r="L94" s="17" t="s">
        <v>873</v>
      </c>
      <c r="M94" s="23"/>
      <c r="N94" s="23"/>
      <c r="O94" s="23"/>
      <c r="P94" s="11"/>
      <c r="Q94" t="s">
        <v>198</v>
      </c>
      <c r="R94" s="15" t="str">
        <f t="shared" si="8"/>
        <v>invdt</v>
      </c>
      <c r="S94" s="11" t="str">
        <f t="shared" si="9"/>
        <v>abap.char(10);</v>
      </c>
      <c r="V94" t="str">
        <f t="shared" si="10"/>
        <v xml:space="preserve">  invdt                          : zcy_det_invdt;</v>
      </c>
      <c r="W94" t="str">
        <f>IFERROR(INDEX('[1]Resolved Data Elem'!$E$4:$E$1070,MATCH(J94,'[1]Resolved Data Elem'!$D$4:$D$1070,0)),"--")</f>
        <v>--</v>
      </c>
    </row>
    <row r="95" spans="2:23" x14ac:dyDescent="0.25">
      <c r="B95" s="22" t="s">
        <v>537</v>
      </c>
      <c r="C95" s="23"/>
      <c r="D95" s="23"/>
      <c r="E95" s="23"/>
      <c r="F95" s="23"/>
      <c r="G95" s="11"/>
      <c r="H95" t="s">
        <v>198</v>
      </c>
      <c r="I95" s="15" t="str">
        <f t="shared" si="11"/>
        <v>refcontractdetails</v>
      </c>
      <c r="J95" s="11" t="str">
        <f t="shared" si="12"/>
        <v>zcy_det_refcontractdetails</v>
      </c>
      <c r="K95" t="s">
        <v>198</v>
      </c>
      <c r="L95" s="17" t="s">
        <v>874</v>
      </c>
      <c r="M95" s="23"/>
      <c r="N95" s="23"/>
      <c r="O95" s="23"/>
      <c r="P95" s="11"/>
      <c r="Q95" t="s">
        <v>198</v>
      </c>
      <c r="R95" s="15" t="str">
        <f t="shared" si="8"/>
        <v>refcontractdetails</v>
      </c>
      <c r="S95" s="11" t="str">
        <f t="shared" si="9"/>
        <v>abap.char(40);</v>
      </c>
      <c r="V95" t="str">
        <f t="shared" si="10"/>
        <v xml:space="preserve">  refcontractdetails             : zcy_det_refcontractdetails;</v>
      </c>
      <c r="W95" t="str">
        <f>IFERROR(INDEX('[1]Resolved Data Elem'!$E$4:$E$1070,MATCH(J95,'[1]Resolved Data Elem'!$D$4:$D$1070,0)),"--")</f>
        <v>--</v>
      </c>
    </row>
    <row r="96" spans="2:23" x14ac:dyDescent="0.25">
      <c r="B96" s="22" t="s">
        <v>538</v>
      </c>
      <c r="C96" s="23"/>
      <c r="D96" s="23"/>
      <c r="E96" s="23"/>
      <c r="F96" s="23"/>
      <c r="G96" s="11"/>
      <c r="H96" t="s">
        <v>198</v>
      </c>
      <c r="I96" s="15" t="str">
        <f t="shared" si="11"/>
        <v>additionalsupportingdocumentde</v>
      </c>
      <c r="J96" s="11" t="str">
        <f t="shared" si="12"/>
        <v>zcy_det_additionalsupportingdo</v>
      </c>
      <c r="K96" t="s">
        <v>198</v>
      </c>
      <c r="L96" s="17" t="s">
        <v>875</v>
      </c>
      <c r="M96" s="23"/>
      <c r="N96" s="23"/>
      <c r="O96" s="23"/>
      <c r="P96" s="11"/>
      <c r="Q96" t="s">
        <v>198</v>
      </c>
      <c r="R96" s="15" t="str">
        <f t="shared" si="8"/>
        <v>additionalsupportingdocumentde</v>
      </c>
      <c r="S96" s="11" t="str">
        <f t="shared" si="9"/>
        <v>abap.char(40);</v>
      </c>
      <c r="V96" t="str">
        <f t="shared" si="10"/>
        <v xml:space="preserve">  additionalsupportingdocumentde : zcy_det_additionalsupportingdo;</v>
      </c>
      <c r="W96" t="str">
        <f>IFERROR(INDEX('[1]Resolved Data Elem'!$E$4:$E$1070,MATCH(J96,'[1]Resolved Data Elem'!$D$4:$D$1070,0)),"--")</f>
        <v>--</v>
      </c>
    </row>
    <row r="97" spans="2:23" x14ac:dyDescent="0.25">
      <c r="B97" s="22" t="s">
        <v>539</v>
      </c>
      <c r="C97" s="23"/>
      <c r="D97" s="23"/>
      <c r="E97" s="23"/>
      <c r="F97" s="23"/>
      <c r="G97" s="11"/>
      <c r="H97" t="s">
        <v>198</v>
      </c>
      <c r="I97" s="15" t="str">
        <f t="shared" si="11"/>
        <v>portcode</v>
      </c>
      <c r="J97" s="11" t="str">
        <f t="shared" si="12"/>
        <v>zcy_det_portcode</v>
      </c>
      <c r="K97" t="s">
        <v>198</v>
      </c>
      <c r="L97" s="17" t="s">
        <v>876</v>
      </c>
      <c r="M97" s="23"/>
      <c r="N97" s="23"/>
      <c r="O97" s="23"/>
      <c r="P97" s="11"/>
      <c r="Q97" t="s">
        <v>198</v>
      </c>
      <c r="R97" s="15" t="str">
        <f t="shared" si="8"/>
        <v>portcode</v>
      </c>
      <c r="S97" s="11" t="str">
        <f t="shared" si="9"/>
        <v>abap.char(10);</v>
      </c>
      <c r="V97" t="str">
        <f t="shared" si="10"/>
        <v xml:space="preserve">  portcode                       : zcy_det_portcode;</v>
      </c>
      <c r="W97" t="str">
        <f>IFERROR(INDEX('[1]Resolved Data Elem'!$E$4:$E$1070,MATCH(J97,'[1]Resolved Data Elem'!$D$4:$D$1070,0)),"--")</f>
        <v>--</v>
      </c>
    </row>
    <row r="98" spans="2:23" x14ac:dyDescent="0.25">
      <c r="B98" s="22" t="s">
        <v>540</v>
      </c>
      <c r="C98" s="23"/>
      <c r="D98" s="23"/>
      <c r="E98" s="23"/>
      <c r="F98" s="23"/>
      <c r="G98" s="11"/>
      <c r="H98" t="s">
        <v>198</v>
      </c>
      <c r="I98" s="15" t="str">
        <f t="shared" si="11"/>
        <v>documentcurrencycode</v>
      </c>
      <c r="J98" s="11" t="str">
        <f t="shared" si="12"/>
        <v>zcy_det_documentcurrencycode</v>
      </c>
      <c r="K98" t="s">
        <v>198</v>
      </c>
      <c r="L98" s="17" t="s">
        <v>877</v>
      </c>
      <c r="M98" s="23"/>
      <c r="N98" s="23"/>
      <c r="O98" s="23"/>
      <c r="P98" s="11"/>
      <c r="Q98" t="s">
        <v>198</v>
      </c>
      <c r="R98" s="15" t="str">
        <f t="shared" si="8"/>
        <v>documentcurrencycode</v>
      </c>
      <c r="S98" s="11" t="str">
        <f t="shared" si="9"/>
        <v>abap.char(16);</v>
      </c>
      <c r="V98" t="str">
        <f t="shared" si="10"/>
        <v xml:space="preserve">  documentcurrencycode           : zcy_det_documentcurrencycode;</v>
      </c>
      <c r="W98" t="str">
        <f>IFERROR(INDEX('[1]Resolved Data Elem'!$E$4:$E$1070,MATCH(J98,'[1]Resolved Data Elem'!$D$4:$D$1070,0)),"--")</f>
        <v>--</v>
      </c>
    </row>
    <row r="99" spans="2:23" x14ac:dyDescent="0.25">
      <c r="B99" s="22" t="s">
        <v>541</v>
      </c>
      <c r="C99" s="23"/>
      <c r="D99" s="23"/>
      <c r="E99" s="23"/>
      <c r="F99" s="23"/>
      <c r="G99" s="11"/>
      <c r="H99" t="s">
        <v>198</v>
      </c>
      <c r="I99" s="15" t="str">
        <f t="shared" si="11"/>
        <v>destinationcountry</v>
      </c>
      <c r="J99" s="11" t="str">
        <f t="shared" si="12"/>
        <v>zcy_det_destinationcountry</v>
      </c>
      <c r="K99" t="s">
        <v>198</v>
      </c>
      <c r="L99" s="17" t="s">
        <v>878</v>
      </c>
      <c r="M99" s="23"/>
      <c r="N99" s="23"/>
      <c r="O99" s="23"/>
      <c r="P99" s="11"/>
      <c r="Q99" t="s">
        <v>198</v>
      </c>
      <c r="R99" s="15" t="str">
        <f t="shared" si="8"/>
        <v>destinationcountry</v>
      </c>
      <c r="S99" s="11" t="str">
        <f t="shared" si="9"/>
        <v>abap.char(2);</v>
      </c>
      <c r="V99" t="str">
        <f t="shared" si="10"/>
        <v xml:space="preserve">  destinationcountry             : zcy_det_destinationcountry;</v>
      </c>
      <c r="W99" t="str">
        <f>IFERROR(INDEX('[1]Resolved Data Elem'!$E$4:$E$1070,MATCH(J99,'[1]Resolved Data Elem'!$D$4:$D$1070,0)),"--")</f>
        <v>--</v>
      </c>
    </row>
    <row r="100" spans="2:23" x14ac:dyDescent="0.25">
      <c r="B100" s="22" t="s">
        <v>542</v>
      </c>
      <c r="C100" s="23"/>
      <c r="D100" s="23"/>
      <c r="E100" s="23"/>
      <c r="F100" s="23"/>
      <c r="G100" s="11"/>
      <c r="H100" t="s">
        <v>198</v>
      </c>
      <c r="I100" s="15" t="str">
        <f t="shared" si="11"/>
        <v>pos</v>
      </c>
      <c r="J100" s="11" t="str">
        <f t="shared" si="12"/>
        <v>zcy_det_pos</v>
      </c>
      <c r="K100" t="s">
        <v>198</v>
      </c>
      <c r="L100" s="17" t="s">
        <v>709</v>
      </c>
      <c r="M100" s="23"/>
      <c r="N100" s="23"/>
      <c r="O100" s="23"/>
      <c r="P100" s="11"/>
      <c r="Q100" t="s">
        <v>198</v>
      </c>
      <c r="R100" s="15" t="str">
        <f t="shared" si="8"/>
        <v>pos</v>
      </c>
      <c r="S100" s="11" t="str">
        <f t="shared" si="9"/>
        <v>abap.char(2);</v>
      </c>
      <c r="V100" t="str">
        <f t="shared" si="10"/>
        <v xml:space="preserve">  pos                            : zcy_det_pos;</v>
      </c>
      <c r="W100" t="str">
        <f>IFERROR(INDEX('[1]Resolved Data Elem'!$E$4:$E$1070,MATCH(J100,'[1]Resolved Data Elem'!$D$4:$D$1070,0)),"--")</f>
        <v>--</v>
      </c>
    </row>
    <row r="101" spans="2:23" x14ac:dyDescent="0.25">
      <c r="B101" s="22" t="s">
        <v>113</v>
      </c>
      <c r="C101" s="23"/>
      <c r="D101" s="23"/>
      <c r="E101" s="23"/>
      <c r="F101" s="23"/>
      <c r="G101" s="11"/>
      <c r="H101" t="s">
        <v>198</v>
      </c>
      <c r="I101" s="15" t="str">
        <f t="shared" si="11"/>
        <v>@Semantics.amount.currencyCode</v>
      </c>
      <c r="J101" s="11" t="str">
        <f t="shared" si="12"/>
        <v>'vbak.waerk'</v>
      </c>
      <c r="K101" t="s">
        <v>198</v>
      </c>
      <c r="L101" s="10" t="s">
        <v>857</v>
      </c>
      <c r="M101" s="23"/>
      <c r="N101" s="23"/>
      <c r="O101" s="23"/>
      <c r="P101" s="11"/>
      <c r="Q101" t="s">
        <v>198</v>
      </c>
      <c r="R101" s="15" t="str">
        <f t="shared" si="8"/>
        <v>@Semantics.amount.currencyCode</v>
      </c>
      <c r="S101" s="11" t="str">
        <f t="shared" si="9"/>
        <v>'vbak.waerk'</v>
      </c>
      <c r="V101" t="str">
        <f t="shared" si="10"/>
        <v xml:space="preserve">  @Semantics.amount.currencyCode : 'vbak.waerk'</v>
      </c>
      <c r="W101" t="str">
        <f>IFERROR(INDEX('[1]Resolved Data Elem'!$E$4:$E$1070,MATCH(J101,'[1]Resolved Data Elem'!$D$4:$D$1070,0)),"--")</f>
        <v>--</v>
      </c>
    </row>
    <row r="102" spans="2:23" x14ac:dyDescent="0.25">
      <c r="B102" s="22" t="s">
        <v>543</v>
      </c>
      <c r="C102" s="23"/>
      <c r="D102" s="23"/>
      <c r="E102" s="23"/>
      <c r="F102" s="23"/>
      <c r="G102" s="11"/>
      <c r="H102" t="s">
        <v>198</v>
      </c>
      <c r="I102" s="15" t="str">
        <f t="shared" si="11"/>
        <v>documentvalue</v>
      </c>
      <c r="J102" s="11" t="str">
        <f t="shared" si="12"/>
        <v>zcy_det_documentvalue</v>
      </c>
      <c r="K102" t="s">
        <v>198</v>
      </c>
      <c r="L102" s="17" t="s">
        <v>879</v>
      </c>
      <c r="M102" s="23"/>
      <c r="N102" s="23"/>
      <c r="O102" s="23"/>
      <c r="P102" s="11"/>
      <c r="Q102" t="s">
        <v>198</v>
      </c>
      <c r="R102" s="15" t="str">
        <f t="shared" si="8"/>
        <v>documentvalue</v>
      </c>
      <c r="S102" s="11" t="str">
        <f t="shared" si="9"/>
        <v>abap.curr(13,2);</v>
      </c>
      <c r="V102" t="str">
        <f t="shared" si="10"/>
        <v xml:space="preserve">  documentvalue                  : zcy_det_documentvalue;</v>
      </c>
      <c r="W102" t="str">
        <f>IFERROR(INDEX('[1]Resolved Data Elem'!$E$4:$E$1070,MATCH(J102,'[1]Resolved Data Elem'!$D$4:$D$1070,0)),"--")</f>
        <v>--</v>
      </c>
    </row>
    <row r="103" spans="2:23" x14ac:dyDescent="0.25">
      <c r="B103" s="22" t="s">
        <v>544</v>
      </c>
      <c r="C103" s="23"/>
      <c r="D103" s="23"/>
      <c r="E103" s="23"/>
      <c r="F103" s="23"/>
      <c r="G103" s="11"/>
      <c r="H103" t="s">
        <v>198</v>
      </c>
      <c r="I103" s="15" t="str">
        <f t="shared" si="11"/>
        <v>documentdiscount</v>
      </c>
      <c r="J103" s="11" t="str">
        <f t="shared" si="12"/>
        <v>zcy_det_documentdiscount</v>
      </c>
      <c r="K103" t="s">
        <v>198</v>
      </c>
      <c r="L103" s="17" t="s">
        <v>880</v>
      </c>
      <c r="M103" s="23"/>
      <c r="N103" s="23"/>
      <c r="O103" s="23"/>
      <c r="P103" s="11"/>
      <c r="Q103" t="s">
        <v>198</v>
      </c>
      <c r="R103" s="15" t="str">
        <f t="shared" si="8"/>
        <v>documentdiscount</v>
      </c>
      <c r="S103" s="11" t="str">
        <f t="shared" si="9"/>
        <v>abap.char(16);</v>
      </c>
      <c r="V103" t="str">
        <f t="shared" si="10"/>
        <v xml:space="preserve">  documentdiscount               : zcy_det_documentdiscount;</v>
      </c>
      <c r="W103" t="str">
        <f>IFERROR(INDEX('[1]Resolved Data Elem'!$E$4:$E$1070,MATCH(J103,'[1]Resolved Data Elem'!$D$4:$D$1070,0)),"--")</f>
        <v>--</v>
      </c>
    </row>
    <row r="104" spans="2:23" x14ac:dyDescent="0.25">
      <c r="B104" s="22" t="s">
        <v>545</v>
      </c>
      <c r="C104" s="23"/>
      <c r="D104" s="23"/>
      <c r="E104" s="23"/>
      <c r="F104" s="23"/>
      <c r="G104" s="11"/>
      <c r="H104" t="s">
        <v>198</v>
      </c>
      <c r="I104" s="15" t="str">
        <f t="shared" si="11"/>
        <v>documentothercharges</v>
      </c>
      <c r="J104" s="11" t="str">
        <f t="shared" si="12"/>
        <v>zcy_det_documentothercharges</v>
      </c>
      <c r="K104" t="s">
        <v>198</v>
      </c>
      <c r="L104" s="17" t="s">
        <v>881</v>
      </c>
      <c r="M104" s="23"/>
      <c r="N104" s="23"/>
      <c r="O104" s="23"/>
      <c r="P104" s="11"/>
      <c r="Q104" t="s">
        <v>198</v>
      </c>
      <c r="R104" s="15" t="str">
        <f t="shared" si="8"/>
        <v>documentothercharges</v>
      </c>
      <c r="S104" s="11" t="str">
        <f t="shared" si="9"/>
        <v>abap.char(16);</v>
      </c>
      <c r="V104" t="str">
        <f t="shared" si="10"/>
        <v xml:space="preserve">  documentothercharges           : zcy_det_documentothercharges;</v>
      </c>
      <c r="W104" t="str">
        <f>IFERROR(INDEX('[1]Resolved Data Elem'!$E$4:$E$1070,MATCH(J104,'[1]Resolved Data Elem'!$D$4:$D$1070,0)),"--")</f>
        <v>--</v>
      </c>
    </row>
    <row r="105" spans="2:23" x14ac:dyDescent="0.25">
      <c r="B105" s="22" t="s">
        <v>113</v>
      </c>
      <c r="C105" s="23"/>
      <c r="D105" s="23"/>
      <c r="E105" s="23"/>
      <c r="F105" s="23"/>
      <c r="G105" s="11"/>
      <c r="H105" t="s">
        <v>198</v>
      </c>
      <c r="I105" s="15" t="str">
        <f t="shared" si="11"/>
        <v>@Semantics.amount.currencyCode</v>
      </c>
      <c r="J105" s="11" t="str">
        <f t="shared" si="12"/>
        <v>'vbak.waerk'</v>
      </c>
      <c r="K105" t="s">
        <v>198</v>
      </c>
      <c r="L105" s="10" t="s">
        <v>857</v>
      </c>
      <c r="M105" s="23"/>
      <c r="N105" s="23"/>
      <c r="O105" s="23"/>
      <c r="P105" s="11"/>
      <c r="Q105" t="s">
        <v>198</v>
      </c>
      <c r="R105" s="15" t="str">
        <f t="shared" si="8"/>
        <v>@Semantics.amount.currencyCode</v>
      </c>
      <c r="S105" s="11" t="str">
        <f t="shared" si="9"/>
        <v>'vbak.waerk'</v>
      </c>
      <c r="V105" t="str">
        <f t="shared" si="10"/>
        <v xml:space="preserve">  @Semantics.amount.currencyCode : 'vbak.waerk'</v>
      </c>
      <c r="W105" t="str">
        <f>IFERROR(INDEX('[1]Resolved Data Elem'!$E$4:$E$1070,MATCH(J105,'[1]Resolved Data Elem'!$D$4:$D$1070,0)),"--")</f>
        <v>--</v>
      </c>
    </row>
    <row r="106" spans="2:23" x14ac:dyDescent="0.25">
      <c r="B106" s="22" t="s">
        <v>546</v>
      </c>
      <c r="C106" s="23"/>
      <c r="D106" s="23"/>
      <c r="E106" s="23"/>
      <c r="F106" s="23"/>
      <c r="G106" s="11"/>
      <c r="H106" t="s">
        <v>198</v>
      </c>
      <c r="I106" s="15" t="str">
        <f t="shared" si="11"/>
        <v>documentvalueinforeigncurrency</v>
      </c>
      <c r="J106" s="11" t="str">
        <f t="shared" si="12"/>
        <v>zcy_det_documentvalueinforeign</v>
      </c>
      <c r="K106" t="s">
        <v>198</v>
      </c>
      <c r="L106" s="17" t="s">
        <v>882</v>
      </c>
      <c r="M106" s="23"/>
      <c r="N106" s="23"/>
      <c r="O106" s="23"/>
      <c r="P106" s="11"/>
      <c r="Q106" t="s">
        <v>198</v>
      </c>
      <c r="R106" s="15" t="str">
        <f t="shared" si="8"/>
        <v>documentvalueinforeigncurrency</v>
      </c>
      <c r="S106" s="11" t="str">
        <f t="shared" si="9"/>
        <v>abap.curr(13,2);</v>
      </c>
      <c r="V106" t="str">
        <f t="shared" si="10"/>
        <v xml:space="preserve">  documentvalueinforeigncurrency : zcy_det_documentvalueinforeign;</v>
      </c>
      <c r="W106" t="str">
        <f>IFERROR(INDEX('[1]Resolved Data Elem'!$E$4:$E$1070,MATCH(J106,'[1]Resolved Data Elem'!$D$4:$D$1070,0)),"--")</f>
        <v>--</v>
      </c>
    </row>
    <row r="107" spans="2:23" x14ac:dyDescent="0.25">
      <c r="B107" s="22" t="s">
        <v>113</v>
      </c>
      <c r="C107" s="23"/>
      <c r="D107" s="23"/>
      <c r="E107" s="23"/>
      <c r="F107" s="23"/>
      <c r="G107" s="11"/>
      <c r="H107" t="s">
        <v>198</v>
      </c>
      <c r="I107" s="15" t="str">
        <f t="shared" si="11"/>
        <v>@Semantics.amount.currencyCode</v>
      </c>
      <c r="J107" s="11" t="str">
        <f t="shared" si="12"/>
        <v>'vbak.waerk'</v>
      </c>
      <c r="K107" t="s">
        <v>198</v>
      </c>
      <c r="L107" s="10" t="s">
        <v>857</v>
      </c>
      <c r="M107" s="23"/>
      <c r="N107" s="23"/>
      <c r="O107" s="23"/>
      <c r="P107" s="11"/>
      <c r="Q107" t="s">
        <v>198</v>
      </c>
      <c r="R107" s="15" t="str">
        <f t="shared" si="8"/>
        <v>@Semantics.amount.currencyCode</v>
      </c>
      <c r="S107" s="11" t="str">
        <f t="shared" si="9"/>
        <v>'vbak.waerk'</v>
      </c>
      <c r="V107" t="str">
        <f t="shared" si="10"/>
        <v xml:space="preserve">  @Semantics.amount.currencyCode : 'vbak.waerk'</v>
      </c>
      <c r="W107" t="str">
        <f>IFERROR(INDEX('[1]Resolved Data Elem'!$E$4:$E$1070,MATCH(J107,'[1]Resolved Data Elem'!$D$4:$D$1070,0)),"--")</f>
        <v>--</v>
      </c>
    </row>
    <row r="108" spans="2:23" x14ac:dyDescent="0.25">
      <c r="B108" s="22" t="s">
        <v>547</v>
      </c>
      <c r="C108" s="23"/>
      <c r="D108" s="23"/>
      <c r="E108" s="23"/>
      <c r="F108" s="23"/>
      <c r="G108" s="11"/>
      <c r="H108" t="s">
        <v>198</v>
      </c>
      <c r="I108" s="15" t="str">
        <f t="shared" si="11"/>
        <v>roundoffamount</v>
      </c>
      <c r="J108" s="11" t="str">
        <f t="shared" si="12"/>
        <v>zcy_det_roundoffamount</v>
      </c>
      <c r="K108" t="s">
        <v>198</v>
      </c>
      <c r="L108" s="17" t="s">
        <v>883</v>
      </c>
      <c r="M108" s="23"/>
      <c r="N108" s="23"/>
      <c r="O108" s="23"/>
      <c r="P108" s="11"/>
      <c r="Q108" t="s">
        <v>198</v>
      </c>
      <c r="R108" s="15" t="str">
        <f t="shared" si="8"/>
        <v>roundoffamount</v>
      </c>
      <c r="S108" s="11" t="str">
        <f t="shared" si="9"/>
        <v>abap.curr(13,2);</v>
      </c>
      <c r="V108" t="str">
        <f t="shared" si="10"/>
        <v xml:space="preserve">  roundoffamount                 : zcy_det_roundoffamount;</v>
      </c>
      <c r="W108" t="str">
        <f>IFERROR(INDEX('[1]Resolved Data Elem'!$E$4:$E$1070,MATCH(J108,'[1]Resolved Data Elem'!$D$4:$D$1070,0)),"--")</f>
        <v>--</v>
      </c>
    </row>
    <row r="109" spans="2:23" x14ac:dyDescent="0.25">
      <c r="B109" s="22" t="s">
        <v>548</v>
      </c>
      <c r="C109" s="23"/>
      <c r="D109" s="23"/>
      <c r="E109" s="23"/>
      <c r="F109" s="23"/>
      <c r="G109" s="11"/>
      <c r="H109" t="s">
        <v>198</v>
      </c>
      <c r="I109" s="15" t="str">
        <f t="shared" si="11"/>
        <v>differentialpercentage</v>
      </c>
      <c r="J109" s="11" t="str">
        <f t="shared" si="12"/>
        <v>zcy_det_differentialpercentage</v>
      </c>
      <c r="K109" t="s">
        <v>198</v>
      </c>
      <c r="L109" s="17" t="s">
        <v>884</v>
      </c>
      <c r="M109" s="23"/>
      <c r="N109" s="23"/>
      <c r="O109" s="23"/>
      <c r="P109" s="11"/>
      <c r="Q109" t="s">
        <v>198</v>
      </c>
      <c r="R109" s="15" t="str">
        <f t="shared" si="8"/>
        <v>differentialpercentage</v>
      </c>
      <c r="S109" s="11" t="str">
        <f t="shared" si="9"/>
        <v>abap.char(5);</v>
      </c>
      <c r="V109" t="str">
        <f t="shared" si="10"/>
        <v xml:space="preserve">  differentialpercentage         : zcy_det_differentialpercentage;</v>
      </c>
      <c r="W109" t="str">
        <f>IFERROR(INDEX('[1]Resolved Data Elem'!$E$4:$E$1070,MATCH(J109,'[1]Resolved Data Elem'!$D$4:$D$1070,0)),"--")</f>
        <v>--</v>
      </c>
    </row>
    <row r="110" spans="2:23" x14ac:dyDescent="0.25">
      <c r="B110" s="22" t="s">
        <v>549</v>
      </c>
      <c r="C110" s="23"/>
      <c r="D110" s="23"/>
      <c r="E110" s="23"/>
      <c r="F110" s="23"/>
      <c r="G110" s="11"/>
      <c r="H110" t="s">
        <v>198</v>
      </c>
      <c r="I110" s="15" t="str">
        <f t="shared" si="11"/>
        <v>reversecharge</v>
      </c>
      <c r="J110" s="11" t="str">
        <f t="shared" si="12"/>
        <v>zcy_det_reversecharge</v>
      </c>
      <c r="K110" t="s">
        <v>198</v>
      </c>
      <c r="L110" s="17" t="s">
        <v>710</v>
      </c>
      <c r="M110" s="23"/>
      <c r="N110" s="23"/>
      <c r="O110" s="23"/>
      <c r="P110" s="11"/>
      <c r="Q110" t="s">
        <v>198</v>
      </c>
      <c r="R110" s="15" t="str">
        <f t="shared" si="8"/>
        <v>reversecharge</v>
      </c>
      <c r="S110" s="11" t="str">
        <f t="shared" si="9"/>
        <v>abap.char(1);</v>
      </c>
      <c r="V110" t="str">
        <f t="shared" si="10"/>
        <v xml:space="preserve">  reversecharge                  : zcy_det_reversecharge;</v>
      </c>
      <c r="W110" t="str">
        <f>IFERROR(INDEX('[1]Resolved Data Elem'!$E$4:$E$1070,MATCH(J110,'[1]Resolved Data Elem'!$D$4:$D$1070,0)),"--")</f>
        <v>--</v>
      </c>
    </row>
    <row r="111" spans="2:23" x14ac:dyDescent="0.25">
      <c r="B111" s="22" t="s">
        <v>550</v>
      </c>
      <c r="C111" s="23"/>
      <c r="D111" s="23"/>
      <c r="E111" s="23"/>
      <c r="F111" s="23"/>
      <c r="G111" s="11"/>
      <c r="H111" t="s">
        <v>198</v>
      </c>
      <c r="I111" s="15" t="str">
        <f t="shared" si="11"/>
        <v>claimrefund</v>
      </c>
      <c r="J111" s="11" t="str">
        <f t="shared" si="12"/>
        <v>zcy_det_claimrefund</v>
      </c>
      <c r="K111" t="s">
        <v>198</v>
      </c>
      <c r="L111" s="17" t="s">
        <v>711</v>
      </c>
      <c r="M111" s="23"/>
      <c r="N111" s="23"/>
      <c r="O111" s="23"/>
      <c r="P111" s="11"/>
      <c r="Q111" t="s">
        <v>198</v>
      </c>
      <c r="R111" s="15" t="str">
        <f t="shared" si="8"/>
        <v>claimrefund</v>
      </c>
      <c r="S111" s="11" t="str">
        <f t="shared" si="9"/>
        <v>abap.char(1);</v>
      </c>
      <c r="V111" t="str">
        <f t="shared" si="10"/>
        <v xml:space="preserve">  claimrefund                    : zcy_det_claimrefund;</v>
      </c>
      <c r="W111" t="str">
        <f>IFERROR(INDEX('[1]Resolved Data Elem'!$E$4:$E$1070,MATCH(J111,'[1]Resolved Data Elem'!$D$4:$D$1070,0)),"--")</f>
        <v>--</v>
      </c>
    </row>
    <row r="112" spans="2:23" x14ac:dyDescent="0.25">
      <c r="B112" s="22" t="s">
        <v>551</v>
      </c>
      <c r="C112" s="23"/>
      <c r="D112" s="23"/>
      <c r="E112" s="23"/>
      <c r="F112" s="23"/>
      <c r="G112" s="11"/>
      <c r="H112" t="s">
        <v>198</v>
      </c>
      <c r="I112" s="15" t="str">
        <f t="shared" si="11"/>
        <v>underigstact</v>
      </c>
      <c r="J112" s="11" t="str">
        <f t="shared" si="12"/>
        <v>zcy_det_underigstact</v>
      </c>
      <c r="K112" t="s">
        <v>198</v>
      </c>
      <c r="L112" s="17" t="s">
        <v>712</v>
      </c>
      <c r="M112" s="23"/>
      <c r="N112" s="23"/>
      <c r="O112" s="23"/>
      <c r="P112" s="11"/>
      <c r="Q112" t="s">
        <v>198</v>
      </c>
      <c r="R112" s="15" t="str">
        <f t="shared" si="8"/>
        <v>underigstact</v>
      </c>
      <c r="S112" s="11" t="str">
        <f t="shared" si="9"/>
        <v>abap.char(1);</v>
      </c>
      <c r="V112" t="str">
        <f t="shared" si="10"/>
        <v xml:space="preserve">  underigstact                   : zcy_det_underigstact;</v>
      </c>
      <c r="W112" t="str">
        <f>IFERROR(INDEX('[1]Resolved Data Elem'!$E$4:$E$1070,MATCH(J112,'[1]Resolved Data Elem'!$D$4:$D$1070,0)),"--")</f>
        <v>--</v>
      </c>
    </row>
    <row r="113" spans="2:23" x14ac:dyDescent="0.25">
      <c r="B113" s="22" t="s">
        <v>552</v>
      </c>
      <c r="C113" s="23"/>
      <c r="D113" s="23"/>
      <c r="E113" s="23"/>
      <c r="F113" s="23"/>
      <c r="G113" s="11"/>
      <c r="H113" t="s">
        <v>198</v>
      </c>
      <c r="I113" s="15" t="str">
        <f t="shared" si="11"/>
        <v>refundeligibility</v>
      </c>
      <c r="J113" s="11" t="str">
        <f t="shared" si="12"/>
        <v>zcy_det_refundeligibility</v>
      </c>
      <c r="K113" t="s">
        <v>198</v>
      </c>
      <c r="L113" s="17" t="s">
        <v>713</v>
      </c>
      <c r="M113" s="23"/>
      <c r="N113" s="23"/>
      <c r="O113" s="23"/>
      <c r="P113" s="11"/>
      <c r="Q113" t="s">
        <v>198</v>
      </c>
      <c r="R113" s="15" t="str">
        <f t="shared" si="8"/>
        <v>refundeligibility</v>
      </c>
      <c r="S113" s="11" t="str">
        <f t="shared" si="9"/>
        <v>abap.char(1);</v>
      </c>
      <c r="V113" t="str">
        <f t="shared" si="10"/>
        <v xml:space="preserve">  refundeligibility              : zcy_det_refundeligibility;</v>
      </c>
      <c r="W113" t="str">
        <f>IFERROR(INDEX('[1]Resolved Data Elem'!$E$4:$E$1070,MATCH(J113,'[1]Resolved Data Elem'!$D$4:$D$1070,0)),"--")</f>
        <v>--</v>
      </c>
    </row>
    <row r="114" spans="2:23" x14ac:dyDescent="0.25">
      <c r="B114" s="22" t="s">
        <v>553</v>
      </c>
      <c r="C114" s="23"/>
      <c r="D114" s="23"/>
      <c r="E114" s="23"/>
      <c r="F114" s="23"/>
      <c r="G114" s="11"/>
      <c r="H114" t="s">
        <v>198</v>
      </c>
      <c r="I114" s="15" t="str">
        <f t="shared" si="11"/>
        <v>pnroruniquenumber</v>
      </c>
      <c r="J114" s="11" t="str">
        <f t="shared" si="12"/>
        <v>zcy_det_pnroruniquenumber</v>
      </c>
      <c r="K114" t="s">
        <v>198</v>
      </c>
      <c r="L114" s="17" t="s">
        <v>885</v>
      </c>
      <c r="M114" s="23"/>
      <c r="N114" s="23"/>
      <c r="O114" s="23"/>
      <c r="P114" s="11"/>
      <c r="Q114" t="s">
        <v>198</v>
      </c>
      <c r="R114" s="15" t="str">
        <f t="shared" si="8"/>
        <v>pnroruniquenumber</v>
      </c>
      <c r="S114" s="11" t="str">
        <f t="shared" si="9"/>
        <v>abap.char(16);</v>
      </c>
      <c r="V114" t="str">
        <f t="shared" si="10"/>
        <v xml:space="preserve">  pnroruniquenumber              : zcy_det_pnroruniquenumber;</v>
      </c>
      <c r="W114" t="str">
        <f>IFERROR(INDEX('[1]Resolved Data Elem'!$E$4:$E$1070,MATCH(J114,'[1]Resolved Data Elem'!$D$4:$D$1070,0)),"--")</f>
        <v>--</v>
      </c>
    </row>
    <row r="115" spans="2:23" x14ac:dyDescent="0.25">
      <c r="B115" s="22" t="s">
        <v>554</v>
      </c>
      <c r="C115" s="23"/>
      <c r="D115" s="23"/>
      <c r="E115" s="23"/>
      <c r="F115" s="23"/>
      <c r="G115" s="11"/>
      <c r="H115" t="s">
        <v>198</v>
      </c>
      <c r="I115" s="15" t="str">
        <f t="shared" si="11"/>
        <v>availprovisionalitc</v>
      </c>
      <c r="J115" s="11" t="str">
        <f t="shared" si="12"/>
        <v>zcy_det_availprovisionalitc</v>
      </c>
      <c r="K115" t="s">
        <v>198</v>
      </c>
      <c r="L115" s="17" t="s">
        <v>886</v>
      </c>
      <c r="M115" s="23"/>
      <c r="N115" s="23"/>
      <c r="O115" s="23"/>
      <c r="P115" s="11"/>
      <c r="Q115" t="s">
        <v>198</v>
      </c>
      <c r="R115" s="15" t="str">
        <f t="shared" si="8"/>
        <v>availprovisionalitc</v>
      </c>
      <c r="S115" s="11" t="str">
        <f t="shared" si="9"/>
        <v>abap.char(1);</v>
      </c>
      <c r="V115" t="str">
        <f t="shared" si="10"/>
        <v xml:space="preserve">  availprovisionalitc            : zcy_det_availprovisionalitc;</v>
      </c>
      <c r="W115" t="str">
        <f>IFERROR(INDEX('[1]Resolved Data Elem'!$E$4:$E$1070,MATCH(J115,'[1]Resolved Data Elem'!$D$4:$D$1070,0)),"--")</f>
        <v>--</v>
      </c>
    </row>
    <row r="116" spans="2:23" x14ac:dyDescent="0.25">
      <c r="B116" s="22" t="s">
        <v>555</v>
      </c>
      <c r="C116" s="23"/>
      <c r="D116" s="23"/>
      <c r="E116" s="23"/>
      <c r="F116" s="23"/>
      <c r="G116" s="11"/>
      <c r="H116" t="s">
        <v>198</v>
      </c>
      <c r="I116" s="15" t="str">
        <f t="shared" si="11"/>
        <v>originalstatecode</v>
      </c>
      <c r="J116" s="11" t="str">
        <f t="shared" si="12"/>
        <v>zcy_det_originalstatecode</v>
      </c>
      <c r="K116" t="s">
        <v>198</v>
      </c>
      <c r="L116" s="17" t="s">
        <v>887</v>
      </c>
      <c r="M116" s="23"/>
      <c r="N116" s="23"/>
      <c r="O116" s="23"/>
      <c r="P116" s="11"/>
      <c r="Q116" t="s">
        <v>198</v>
      </c>
      <c r="R116" s="15" t="str">
        <f t="shared" si="8"/>
        <v>originalstatecode</v>
      </c>
      <c r="S116" s="11" t="str">
        <f t="shared" si="9"/>
        <v>abap.char(2);</v>
      </c>
      <c r="V116" t="str">
        <f t="shared" si="10"/>
        <v xml:space="preserve">  originalstatecode              : zcy_det_originalstatecode;</v>
      </c>
      <c r="W116" t="str">
        <f>IFERROR(INDEX('[1]Resolved Data Elem'!$E$4:$E$1070,MATCH(J116,'[1]Resolved Data Elem'!$D$4:$D$1070,0)),"--")</f>
        <v>--</v>
      </c>
    </row>
    <row r="117" spans="2:23" x14ac:dyDescent="0.25">
      <c r="B117" s="22" t="s">
        <v>556</v>
      </c>
      <c r="C117" s="23"/>
      <c r="D117" s="23"/>
      <c r="E117" s="23"/>
      <c r="F117" s="23"/>
      <c r="G117" s="11"/>
      <c r="H117" t="s">
        <v>198</v>
      </c>
      <c r="I117" s="15" t="str">
        <f t="shared" si="11"/>
        <v>originaldocumentnumber</v>
      </c>
      <c r="J117" s="11" t="str">
        <f t="shared" si="12"/>
        <v>zcy_det_originaldocumentnumber</v>
      </c>
      <c r="K117" t="s">
        <v>198</v>
      </c>
      <c r="L117" s="17" t="s">
        <v>888</v>
      </c>
      <c r="M117" s="23"/>
      <c r="N117" s="23"/>
      <c r="O117" s="23"/>
      <c r="P117" s="11"/>
      <c r="Q117" t="s">
        <v>198</v>
      </c>
      <c r="R117" s="15" t="str">
        <f t="shared" si="8"/>
        <v>originaldocumentnumber</v>
      </c>
      <c r="S117" s="11" t="str">
        <f t="shared" si="9"/>
        <v>abap.char(16);</v>
      </c>
      <c r="V117" t="str">
        <f t="shared" si="10"/>
        <v xml:space="preserve">  originaldocumentnumber         : zcy_det_originaldocumentnumber;</v>
      </c>
      <c r="W117" t="str">
        <f>IFERROR(INDEX('[1]Resolved Data Elem'!$E$4:$E$1070,MATCH(J117,'[1]Resolved Data Elem'!$D$4:$D$1070,0)),"--")</f>
        <v>--</v>
      </c>
    </row>
    <row r="118" spans="2:23" x14ac:dyDescent="0.25">
      <c r="B118" s="22" t="s">
        <v>557</v>
      </c>
      <c r="C118" s="23"/>
      <c r="D118" s="23"/>
      <c r="E118" s="23"/>
      <c r="F118" s="23"/>
      <c r="G118" s="11"/>
      <c r="H118" t="s">
        <v>198</v>
      </c>
      <c r="I118" s="15" t="str">
        <f t="shared" si="11"/>
        <v>originaldocumentdate</v>
      </c>
      <c r="J118" s="11" t="str">
        <f t="shared" si="12"/>
        <v>zcy_det_originaldocumentdate</v>
      </c>
      <c r="K118" t="s">
        <v>198</v>
      </c>
      <c r="L118" s="17" t="s">
        <v>889</v>
      </c>
      <c r="M118" s="23"/>
      <c r="N118" s="23"/>
      <c r="O118" s="23"/>
      <c r="P118" s="11"/>
      <c r="Q118" t="s">
        <v>198</v>
      </c>
      <c r="R118" s="15" t="str">
        <f t="shared" si="8"/>
        <v>originaldocumentdate</v>
      </c>
      <c r="S118" s="11" t="str">
        <f t="shared" si="9"/>
        <v>abap.char(10);</v>
      </c>
      <c r="V118" t="str">
        <f t="shared" si="10"/>
        <v xml:space="preserve">  originaldocumentdate           : zcy_det_originaldocumentdate;</v>
      </c>
      <c r="W118" t="str">
        <f>IFERROR(INDEX('[1]Resolved Data Elem'!$E$4:$E$1070,MATCH(J118,'[1]Resolved Data Elem'!$D$4:$D$1070,0)),"--")</f>
        <v>--</v>
      </c>
    </row>
    <row r="119" spans="2:23" x14ac:dyDescent="0.25">
      <c r="B119" s="22" t="s">
        <v>558</v>
      </c>
      <c r="C119" s="23"/>
      <c r="D119" s="23"/>
      <c r="E119" s="23"/>
      <c r="F119" s="23"/>
      <c r="G119" s="11"/>
      <c r="H119" t="s">
        <v>198</v>
      </c>
      <c r="I119" s="15" t="str">
        <f t="shared" si="11"/>
        <v>originalreturnperiod</v>
      </c>
      <c r="J119" s="11" t="str">
        <f t="shared" si="12"/>
        <v>zcy_det_originalreturnperiod</v>
      </c>
      <c r="K119" t="s">
        <v>198</v>
      </c>
      <c r="L119" s="17" t="s">
        <v>890</v>
      </c>
      <c r="M119" s="23"/>
      <c r="N119" s="23"/>
      <c r="O119" s="23"/>
      <c r="P119" s="11"/>
      <c r="Q119" t="s">
        <v>198</v>
      </c>
      <c r="R119" s="15" t="str">
        <f t="shared" si="8"/>
        <v>originalreturnperiod</v>
      </c>
      <c r="S119" s="11" t="str">
        <f t="shared" si="9"/>
        <v>abap.char(6);</v>
      </c>
      <c r="V119" t="str">
        <f t="shared" si="10"/>
        <v xml:space="preserve">  originalreturnperiod           : zcy_det_originalreturnperiod;</v>
      </c>
      <c r="W119" t="str">
        <f>IFERROR(INDEX('[1]Resolved Data Elem'!$E$4:$E$1070,MATCH(J119,'[1]Resolved Data Elem'!$D$4:$D$1070,0)),"--")</f>
        <v>--</v>
      </c>
    </row>
    <row r="120" spans="2:23" x14ac:dyDescent="0.25">
      <c r="B120" s="22" t="s">
        <v>113</v>
      </c>
      <c r="C120" s="23"/>
      <c r="D120" s="23"/>
      <c r="E120" s="23"/>
      <c r="F120" s="23"/>
      <c r="G120" s="11"/>
      <c r="H120" t="s">
        <v>198</v>
      </c>
      <c r="I120" s="15" t="str">
        <f t="shared" si="11"/>
        <v>@Semantics.amount.currencyCode</v>
      </c>
      <c r="J120" s="11" t="str">
        <f t="shared" si="12"/>
        <v>'vbak.waerk'</v>
      </c>
      <c r="K120" t="s">
        <v>198</v>
      </c>
      <c r="L120" s="10" t="s">
        <v>857</v>
      </c>
      <c r="M120" s="23"/>
      <c r="N120" s="23"/>
      <c r="O120" s="23"/>
      <c r="P120" s="11"/>
      <c r="Q120" t="s">
        <v>198</v>
      </c>
      <c r="R120" s="15" t="str">
        <f t="shared" si="8"/>
        <v>@Semantics.amount.currencyCode</v>
      </c>
      <c r="S120" s="11" t="str">
        <f t="shared" si="9"/>
        <v>'vbak.waerk'</v>
      </c>
      <c r="V120" t="str">
        <f t="shared" si="10"/>
        <v xml:space="preserve">  @Semantics.amount.currencyCode : 'vbak.waerk'</v>
      </c>
      <c r="W120" t="str">
        <f>IFERROR(INDEX('[1]Resolved Data Elem'!$E$4:$E$1070,MATCH(J120,'[1]Resolved Data Elem'!$D$4:$D$1070,0)),"--")</f>
        <v>--</v>
      </c>
    </row>
    <row r="121" spans="2:23" x14ac:dyDescent="0.25">
      <c r="B121" s="22" t="s">
        <v>559</v>
      </c>
      <c r="C121" s="23"/>
      <c r="D121" s="23"/>
      <c r="E121" s="23"/>
      <c r="F121" s="23"/>
      <c r="G121" s="11"/>
      <c r="H121" t="s">
        <v>198</v>
      </c>
      <c r="I121" s="15" t="str">
        <f t="shared" si="11"/>
        <v>originaltaxablevalue</v>
      </c>
      <c r="J121" s="11" t="str">
        <f t="shared" si="12"/>
        <v>zcy_det_originaltaxablevalue</v>
      </c>
      <c r="K121" t="s">
        <v>198</v>
      </c>
      <c r="L121" s="17" t="s">
        <v>891</v>
      </c>
      <c r="M121" s="23"/>
      <c r="N121" s="23"/>
      <c r="O121" s="23"/>
      <c r="P121" s="11"/>
      <c r="Q121" t="s">
        <v>198</v>
      </c>
      <c r="R121" s="15" t="str">
        <f t="shared" si="8"/>
        <v>originaltaxablevalue</v>
      </c>
      <c r="S121" s="11" t="str">
        <f t="shared" si="9"/>
        <v>abap.curr(13,2);</v>
      </c>
      <c r="V121" t="str">
        <f t="shared" si="10"/>
        <v xml:space="preserve">  originaltaxablevalue           : zcy_det_originaltaxablevalue;</v>
      </c>
      <c r="W121" t="str">
        <f>IFERROR(INDEX('[1]Resolved Data Elem'!$E$4:$E$1070,MATCH(J121,'[1]Resolved Data Elem'!$D$4:$D$1070,0)),"--")</f>
        <v>--</v>
      </c>
    </row>
    <row r="122" spans="2:23" x14ac:dyDescent="0.25">
      <c r="B122" s="22" t="s">
        <v>560</v>
      </c>
      <c r="C122" s="23"/>
      <c r="D122" s="23"/>
      <c r="E122" s="23"/>
      <c r="F122" s="23"/>
      <c r="G122" s="11"/>
      <c r="H122" t="s">
        <v>198</v>
      </c>
      <c r="I122" s="15" t="str">
        <f t="shared" si="11"/>
        <v>toemailaddresses</v>
      </c>
      <c r="J122" s="11" t="str">
        <f t="shared" si="12"/>
        <v>zcy_det_toemailaddresses</v>
      </c>
      <c r="K122" t="s">
        <v>198</v>
      </c>
      <c r="L122" s="17" t="s">
        <v>892</v>
      </c>
      <c r="M122" s="23"/>
      <c r="N122" s="23"/>
      <c r="O122" s="23"/>
      <c r="P122" s="11"/>
      <c r="Q122" t="s">
        <v>198</v>
      </c>
      <c r="R122" s="15" t="str">
        <f t="shared" si="8"/>
        <v>toemailaddresses</v>
      </c>
      <c r="S122" s="11" t="str">
        <f t="shared" si="9"/>
        <v>abap.char(40);</v>
      </c>
      <c r="V122" t="str">
        <f t="shared" si="10"/>
        <v xml:space="preserve">  toemailaddresses               : zcy_det_toemailaddresses;</v>
      </c>
      <c r="W122" t="str">
        <f>IFERROR(INDEX('[1]Resolved Data Elem'!$E$4:$E$1070,MATCH(J122,'[1]Resolved Data Elem'!$D$4:$D$1070,0)),"--")</f>
        <v>--</v>
      </c>
    </row>
    <row r="123" spans="2:23" x14ac:dyDescent="0.25">
      <c r="B123" s="22" t="s">
        <v>561</v>
      </c>
      <c r="C123" s="23"/>
      <c r="D123" s="23"/>
      <c r="E123" s="23"/>
      <c r="F123" s="23"/>
      <c r="G123" s="11"/>
      <c r="H123" t="s">
        <v>198</v>
      </c>
      <c r="I123" s="15" t="str">
        <f t="shared" si="11"/>
        <v>tomobilenumbers</v>
      </c>
      <c r="J123" s="11" t="str">
        <f t="shared" si="12"/>
        <v>zcy_det_tomobilenumbers</v>
      </c>
      <c r="K123" t="s">
        <v>198</v>
      </c>
      <c r="L123" s="17" t="s">
        <v>893</v>
      </c>
      <c r="M123" s="23"/>
      <c r="N123" s="23"/>
      <c r="O123" s="23"/>
      <c r="P123" s="11"/>
      <c r="Q123" t="s">
        <v>198</v>
      </c>
      <c r="R123" s="15" t="str">
        <f t="shared" si="8"/>
        <v>tomobilenumbers</v>
      </c>
      <c r="S123" s="11" t="str">
        <f t="shared" si="9"/>
        <v>abap.char(40);</v>
      </c>
      <c r="V123" t="str">
        <f t="shared" si="10"/>
        <v xml:space="preserve">  tomobilenumbers                : zcy_det_tomobilenumbers;</v>
      </c>
      <c r="W123" t="str">
        <f>IFERROR(INDEX('[1]Resolved Data Elem'!$E$4:$E$1070,MATCH(J123,'[1]Resolved Data Elem'!$D$4:$D$1070,0)),"--")</f>
        <v>--</v>
      </c>
    </row>
    <row r="124" spans="2:23" x14ac:dyDescent="0.25">
      <c r="B124" s="22" t="s">
        <v>562</v>
      </c>
      <c r="C124" s="23"/>
      <c r="D124" s="23"/>
      <c r="E124" s="23"/>
      <c r="F124" s="23"/>
      <c r="G124" s="11"/>
      <c r="H124" t="s">
        <v>198</v>
      </c>
      <c r="I124" s="15" t="str">
        <f t="shared" si="11"/>
        <v>jworiginaldocumentnumber</v>
      </c>
      <c r="J124" s="11" t="str">
        <f t="shared" si="12"/>
        <v>zcy_det_jworiginaldocumentnumb</v>
      </c>
      <c r="K124" t="s">
        <v>198</v>
      </c>
      <c r="L124" s="17" t="s">
        <v>894</v>
      </c>
      <c r="M124" s="23"/>
      <c r="N124" s="23"/>
      <c r="O124" s="23"/>
      <c r="P124" s="11"/>
      <c r="Q124" t="s">
        <v>198</v>
      </c>
      <c r="R124" s="15" t="str">
        <f t="shared" si="8"/>
        <v>jworiginaldocumentnumber</v>
      </c>
      <c r="S124" s="11" t="str">
        <f t="shared" si="9"/>
        <v>abap.char(16);</v>
      </c>
      <c r="V124" t="str">
        <f t="shared" si="10"/>
        <v xml:space="preserve">  jworiginaldocumentnumber       : zcy_det_jworiginaldocumentnumb;</v>
      </c>
      <c r="W124" t="str">
        <f>IFERROR(INDEX('[1]Resolved Data Elem'!$E$4:$E$1070,MATCH(J124,'[1]Resolved Data Elem'!$D$4:$D$1070,0)),"--")</f>
        <v>--</v>
      </c>
    </row>
    <row r="125" spans="2:23" x14ac:dyDescent="0.25">
      <c r="B125" s="22" t="s">
        <v>563</v>
      </c>
      <c r="C125" s="23"/>
      <c r="D125" s="23"/>
      <c r="E125" s="23"/>
      <c r="F125" s="23"/>
      <c r="G125" s="11"/>
      <c r="H125" t="s">
        <v>198</v>
      </c>
      <c r="I125" s="15" t="str">
        <f t="shared" si="11"/>
        <v>jworiginaldocumentdate</v>
      </c>
      <c r="J125" s="11" t="str">
        <f t="shared" si="12"/>
        <v>zcy_det_jworiginaldocumentdate</v>
      </c>
      <c r="K125" t="s">
        <v>198</v>
      </c>
      <c r="L125" s="17" t="s">
        <v>895</v>
      </c>
      <c r="M125" s="23"/>
      <c r="N125" s="23"/>
      <c r="O125" s="23"/>
      <c r="P125" s="11"/>
      <c r="Q125" t="s">
        <v>198</v>
      </c>
      <c r="R125" s="15" t="str">
        <f t="shared" si="8"/>
        <v>jworiginaldocumentdate</v>
      </c>
      <c r="S125" s="11" t="str">
        <f t="shared" si="9"/>
        <v>abap.char(10);</v>
      </c>
      <c r="V125" t="str">
        <f t="shared" si="10"/>
        <v xml:space="preserve">  jworiginaldocumentdate         : zcy_det_jworiginaldocumentdate;</v>
      </c>
      <c r="W125" t="str">
        <f>IFERROR(INDEX('[1]Resolved Data Elem'!$E$4:$E$1070,MATCH(J125,'[1]Resolved Data Elem'!$D$4:$D$1070,0)),"--")</f>
        <v>--</v>
      </c>
    </row>
    <row r="126" spans="2:23" x14ac:dyDescent="0.25">
      <c r="B126" s="22" t="s">
        <v>564</v>
      </c>
      <c r="C126" s="23"/>
      <c r="D126" s="23"/>
      <c r="E126" s="23"/>
      <c r="F126" s="23"/>
      <c r="G126" s="11"/>
      <c r="H126" t="s">
        <v>198</v>
      </c>
      <c r="I126" s="15" t="str">
        <f t="shared" si="11"/>
        <v>jwdocumentnumber</v>
      </c>
      <c r="J126" s="11" t="str">
        <f t="shared" si="12"/>
        <v>zcy_det_jwdocumentnumber</v>
      </c>
      <c r="K126" t="s">
        <v>198</v>
      </c>
      <c r="L126" s="17" t="s">
        <v>896</v>
      </c>
      <c r="M126" s="23"/>
      <c r="N126" s="23"/>
      <c r="O126" s="23"/>
      <c r="P126" s="11"/>
      <c r="Q126" t="s">
        <v>198</v>
      </c>
      <c r="R126" s="15" t="str">
        <f t="shared" si="8"/>
        <v>jwdocumentnumber</v>
      </c>
      <c r="S126" s="11" t="str">
        <f t="shared" si="9"/>
        <v>abap.char(16);</v>
      </c>
      <c r="V126" t="str">
        <f t="shared" si="10"/>
        <v xml:space="preserve">  jwdocumentnumber               : zcy_det_jwdocumentnumber;</v>
      </c>
      <c r="W126" t="str">
        <f>IFERROR(INDEX('[1]Resolved Data Elem'!$E$4:$E$1070,MATCH(J126,'[1]Resolved Data Elem'!$D$4:$D$1070,0)),"--")</f>
        <v>--</v>
      </c>
    </row>
    <row r="127" spans="2:23" x14ac:dyDescent="0.25">
      <c r="B127" s="22" t="s">
        <v>565</v>
      </c>
      <c r="C127" s="23"/>
      <c r="D127" s="23"/>
      <c r="E127" s="23"/>
      <c r="F127" s="23"/>
      <c r="G127" s="11"/>
      <c r="H127" t="s">
        <v>198</v>
      </c>
      <c r="I127" s="15" t="str">
        <f t="shared" si="11"/>
        <v>jwdocumentdate</v>
      </c>
      <c r="J127" s="11" t="str">
        <f t="shared" si="12"/>
        <v>zcy_det_jwdocumentdate</v>
      </c>
      <c r="K127" t="s">
        <v>198</v>
      </c>
      <c r="L127" s="17" t="s">
        <v>897</v>
      </c>
      <c r="M127" s="23"/>
      <c r="N127" s="23"/>
      <c r="O127" s="23"/>
      <c r="P127" s="11"/>
      <c r="Q127" t="s">
        <v>198</v>
      </c>
      <c r="R127" s="15" t="str">
        <f t="shared" si="8"/>
        <v>jwdocumentdate</v>
      </c>
      <c r="S127" s="11" t="str">
        <f t="shared" si="9"/>
        <v>abap.char(10);</v>
      </c>
      <c r="V127" t="str">
        <f t="shared" si="10"/>
        <v xml:space="preserve">  jwdocumentdate                 : zcy_det_jwdocumentdate;</v>
      </c>
      <c r="W127" t="str">
        <f>IFERROR(INDEX('[1]Resolved Data Elem'!$E$4:$E$1070,MATCH(J127,'[1]Resolved Data Elem'!$D$4:$D$1070,0)),"--")</f>
        <v>--</v>
      </c>
    </row>
    <row r="128" spans="2:23" x14ac:dyDescent="0.25">
      <c r="B128" s="22" t="s">
        <v>566</v>
      </c>
      <c r="C128" s="23"/>
      <c r="D128" s="23"/>
      <c r="E128" s="23"/>
      <c r="F128" s="23"/>
      <c r="G128" s="11"/>
      <c r="H128" t="s">
        <v>198</v>
      </c>
      <c r="I128" s="15" t="str">
        <f t="shared" si="11"/>
        <v>autodraftsource</v>
      </c>
      <c r="J128" s="11" t="str">
        <f t="shared" si="12"/>
        <v>zcy_det_autodraftsource</v>
      </c>
      <c r="K128" t="s">
        <v>198</v>
      </c>
      <c r="L128" s="17" t="s">
        <v>898</v>
      </c>
      <c r="M128" s="23"/>
      <c r="N128" s="23"/>
      <c r="O128" s="23"/>
      <c r="P128" s="11"/>
      <c r="Q128" t="s">
        <v>198</v>
      </c>
      <c r="R128" s="15" t="str">
        <f t="shared" si="8"/>
        <v>autodraftsource</v>
      </c>
      <c r="S128" s="11" t="str">
        <f t="shared" si="9"/>
        <v>abap.char(10);</v>
      </c>
      <c r="V128" t="str">
        <f t="shared" si="10"/>
        <v xml:space="preserve">  autodraftsource                : zcy_det_autodraftsource;</v>
      </c>
      <c r="W128" t="str">
        <f>IFERROR(INDEX('[1]Resolved Data Elem'!$E$4:$E$1070,MATCH(J128,'[1]Resolved Data Elem'!$D$4:$D$1070,0)),"--")</f>
        <v>--</v>
      </c>
    </row>
    <row r="129" spans="2:23" x14ac:dyDescent="0.25">
      <c r="B129" s="22" t="s">
        <v>567</v>
      </c>
      <c r="C129" s="23"/>
      <c r="D129" s="23"/>
      <c r="E129" s="23"/>
      <c r="F129" s="23"/>
      <c r="G129" s="11"/>
      <c r="H129" t="s">
        <v>198</v>
      </c>
      <c r="I129" s="15" t="str">
        <f t="shared" si="11"/>
        <v>irngenerationdate</v>
      </c>
      <c r="J129" s="11" t="str">
        <f t="shared" si="12"/>
        <v>zcy_det_irngenerationdate</v>
      </c>
      <c r="K129" t="s">
        <v>198</v>
      </c>
      <c r="L129" s="17" t="s">
        <v>899</v>
      </c>
      <c r="M129" s="23"/>
      <c r="N129" s="23"/>
      <c r="O129" s="23"/>
      <c r="P129" s="11"/>
      <c r="Q129" t="s">
        <v>198</v>
      </c>
      <c r="R129" s="15" t="str">
        <f t="shared" si="8"/>
        <v>irngenerationdate</v>
      </c>
      <c r="S129" s="11" t="str">
        <f t="shared" si="9"/>
        <v>abap.char(40);</v>
      </c>
      <c r="V129" t="str">
        <f t="shared" si="10"/>
        <v xml:space="preserve">  irngenerationdate              : zcy_det_irngenerationdate;</v>
      </c>
      <c r="W129" t="str">
        <f>IFERROR(INDEX('[1]Resolved Data Elem'!$E$4:$E$1070,MATCH(J129,'[1]Resolved Data Elem'!$D$4:$D$1070,0)),"--")</f>
        <v>--</v>
      </c>
    </row>
    <row r="130" spans="2:23" x14ac:dyDescent="0.25">
      <c r="B130" s="22" t="s">
        <v>568</v>
      </c>
      <c r="C130" s="23"/>
      <c r="D130" s="23"/>
      <c r="E130" s="23"/>
      <c r="F130" s="23"/>
      <c r="G130" s="11"/>
      <c r="H130" t="s">
        <v>198</v>
      </c>
      <c r="I130" s="15" t="str">
        <f t="shared" si="11"/>
        <v>isamendment</v>
      </c>
      <c r="J130" s="11" t="str">
        <f t="shared" si="12"/>
        <v>zcy_det_isamendment</v>
      </c>
      <c r="K130" t="s">
        <v>198</v>
      </c>
      <c r="L130" s="17" t="s">
        <v>900</v>
      </c>
      <c r="M130" s="23"/>
      <c r="N130" s="23"/>
      <c r="O130" s="23"/>
      <c r="P130" s="11"/>
      <c r="Q130" t="s">
        <v>198</v>
      </c>
      <c r="R130" s="15" t="str">
        <f t="shared" si="8"/>
        <v>isamendment</v>
      </c>
      <c r="S130" s="11" t="str">
        <f t="shared" si="9"/>
        <v>abap.char(40);</v>
      </c>
      <c r="V130" t="str">
        <f t="shared" si="10"/>
        <v xml:space="preserve">  isamendment                    : zcy_det_isamendment;</v>
      </c>
      <c r="W130" t="str">
        <f>IFERROR(INDEX('[1]Resolved Data Elem'!$E$4:$E$1070,MATCH(J130,'[1]Resolved Data Elem'!$D$4:$D$1070,0)),"--")</f>
        <v>--</v>
      </c>
    </row>
    <row r="131" spans="2:23" x14ac:dyDescent="0.25">
      <c r="B131" s="22" t="s">
        <v>766</v>
      </c>
      <c r="C131" s="23"/>
      <c r="D131" s="23"/>
      <c r="E131" s="23"/>
      <c r="F131" s="23"/>
      <c r="G131" s="11"/>
      <c r="H131" t="s">
        <v>198</v>
      </c>
      <c r="I131" s="15" t="str">
        <f t="shared" si="11"/>
        <v>isavailableingstr2b</v>
      </c>
      <c r="J131" s="11" t="str">
        <f t="shared" si="12"/>
        <v>zcy_det_isavailableingstr2b</v>
      </c>
      <c r="K131" t="s">
        <v>198</v>
      </c>
      <c r="L131" s="17" t="s">
        <v>901</v>
      </c>
      <c r="M131" s="23"/>
      <c r="N131" s="23"/>
      <c r="O131" s="23"/>
      <c r="P131" s="11"/>
      <c r="Q131" t="s">
        <v>198</v>
      </c>
      <c r="R131" s="15" t="str">
        <f t="shared" si="8"/>
        <v>isavailableingstr2b</v>
      </c>
      <c r="S131" s="11" t="str">
        <f t="shared" si="9"/>
        <v>abap.char(40);</v>
      </c>
      <c r="V131" t="str">
        <f t="shared" si="10"/>
        <v xml:space="preserve">  isavailableingstr2b             : zcy_det_isavailableingstr2b;</v>
      </c>
      <c r="W131" t="str">
        <f>IFERROR(INDEX('[1]Resolved Data Elem'!$E$4:$E$1070,MATCH(J131,'[1]Resolved Data Elem'!$D$4:$D$1070,0)),"--")</f>
        <v>--</v>
      </c>
    </row>
    <row r="132" spans="2:23" x14ac:dyDescent="0.25">
      <c r="B132" s="22" t="s">
        <v>569</v>
      </c>
      <c r="C132" s="23"/>
      <c r="D132" s="23"/>
      <c r="E132" s="23"/>
      <c r="F132" s="23"/>
      <c r="G132" s="11"/>
      <c r="H132" t="s">
        <v>198</v>
      </c>
      <c r="I132" s="15" t="str">
        <f t="shared" si="11"/>
        <v>itcavailability</v>
      </c>
      <c r="J132" s="11" t="str">
        <f t="shared" si="12"/>
        <v>zcy_det_itcavailability</v>
      </c>
      <c r="K132" t="s">
        <v>198</v>
      </c>
      <c r="L132" s="17" t="s">
        <v>902</v>
      </c>
      <c r="M132" s="23"/>
      <c r="N132" s="23"/>
      <c r="O132" s="23"/>
      <c r="P132" s="11"/>
      <c r="Q132" t="s">
        <v>198</v>
      </c>
      <c r="R132" s="15" t="str">
        <f t="shared" si="8"/>
        <v>itcavailability</v>
      </c>
      <c r="S132" s="11" t="str">
        <f t="shared" si="9"/>
        <v>abap.char(40);</v>
      </c>
      <c r="V132" t="str">
        <f t="shared" si="10"/>
        <v xml:space="preserve">  itcavailability                : zcy_det_itcavailability;</v>
      </c>
      <c r="W132" t="str">
        <f>IFERROR(INDEX('[1]Resolved Data Elem'!$E$4:$E$1070,MATCH(J132,'[1]Resolved Data Elem'!$D$4:$D$1070,0)),"--")</f>
        <v>--</v>
      </c>
    </row>
    <row r="133" spans="2:23" x14ac:dyDescent="0.25">
      <c r="B133" s="22" t="s">
        <v>570</v>
      </c>
      <c r="C133" s="23"/>
      <c r="D133" s="23"/>
      <c r="E133" s="23"/>
      <c r="F133" s="23"/>
      <c r="G133" s="11"/>
      <c r="H133" t="s">
        <v>198</v>
      </c>
      <c r="I133" s="15" t="str">
        <f t="shared" si="11"/>
        <v>itcunavailabilityreason</v>
      </c>
      <c r="J133" s="11" t="str">
        <f t="shared" si="12"/>
        <v>zcy_det_itcunavailabilityreaso</v>
      </c>
      <c r="K133" t="s">
        <v>198</v>
      </c>
      <c r="L133" s="17" t="s">
        <v>903</v>
      </c>
      <c r="M133" s="23"/>
      <c r="N133" s="23"/>
      <c r="O133" s="23"/>
      <c r="P133" s="11"/>
      <c r="Q133" t="s">
        <v>198</v>
      </c>
      <c r="R133" s="15" t="str">
        <f t="shared" si="8"/>
        <v>itcunavailabilityreason</v>
      </c>
      <c r="S133" s="11" t="str">
        <f t="shared" si="9"/>
        <v>abap.char(40);</v>
      </c>
      <c r="V133" t="str">
        <f t="shared" si="10"/>
        <v xml:space="preserve">  itcunavailabilityreason        : zcy_det_itcunavailabilityreaso;</v>
      </c>
      <c r="W133" t="str">
        <f>IFERROR(INDEX('[1]Resolved Data Elem'!$E$4:$E$1070,MATCH(J133,'[1]Resolved Data Elem'!$D$4:$D$1070,0)),"--")</f>
        <v>--</v>
      </c>
    </row>
    <row r="134" spans="2:23" x14ac:dyDescent="0.25">
      <c r="B134" s="22" t="s">
        <v>571</v>
      </c>
      <c r="C134" s="23"/>
      <c r="D134" s="23"/>
      <c r="E134" s="23"/>
      <c r="F134" s="23"/>
      <c r="G134" s="11"/>
      <c r="H134" t="s">
        <v>198</v>
      </c>
      <c r="I134" s="15" t="str">
        <f t="shared" si="11"/>
        <v>custom2</v>
      </c>
      <c r="J134" s="11" t="str">
        <f t="shared" si="12"/>
        <v>zcy_det_custom2</v>
      </c>
      <c r="K134" t="s">
        <v>198</v>
      </c>
      <c r="L134" s="17" t="s">
        <v>714</v>
      </c>
      <c r="M134" s="23"/>
      <c r="N134" s="23"/>
      <c r="O134" s="23"/>
      <c r="P134" s="11"/>
      <c r="Q134" t="s">
        <v>198</v>
      </c>
      <c r="R134" s="15" t="str">
        <f t="shared" si="8"/>
        <v>custom2</v>
      </c>
      <c r="S134" s="11" t="str">
        <f t="shared" si="9"/>
        <v>abap.char(40);</v>
      </c>
      <c r="V134" t="str">
        <f t="shared" si="10"/>
        <v xml:space="preserve">  custom2                        : zcy_det_custom2;</v>
      </c>
      <c r="W134" t="str">
        <f>IFERROR(INDEX('[1]Resolved Data Elem'!$E$4:$E$1070,MATCH(J134,'[1]Resolved Data Elem'!$D$4:$D$1070,0)),"--")</f>
        <v>--</v>
      </c>
    </row>
    <row r="135" spans="2:23" x14ac:dyDescent="0.25">
      <c r="B135" s="22" t="s">
        <v>572</v>
      </c>
      <c r="C135" s="23"/>
      <c r="D135" s="23"/>
      <c r="E135" s="23"/>
      <c r="F135" s="23"/>
      <c r="G135" s="11"/>
      <c r="H135" t="s">
        <v>198</v>
      </c>
      <c r="I135" s="15" t="str">
        <f t="shared" si="11"/>
        <v>custom3</v>
      </c>
      <c r="J135" s="11" t="str">
        <f t="shared" si="12"/>
        <v>zcy_det_custom3</v>
      </c>
      <c r="K135" t="s">
        <v>198</v>
      </c>
      <c r="L135" s="17" t="s">
        <v>715</v>
      </c>
      <c r="M135" s="23"/>
      <c r="N135" s="23"/>
      <c r="O135" s="23"/>
      <c r="P135" s="11"/>
      <c r="Q135" t="s">
        <v>198</v>
      </c>
      <c r="R135" s="15" t="str">
        <f t="shared" si="8"/>
        <v>custom3</v>
      </c>
      <c r="S135" s="11" t="str">
        <f t="shared" si="9"/>
        <v>abap.char(40);</v>
      </c>
      <c r="V135" t="str">
        <f t="shared" si="10"/>
        <v xml:space="preserve">  custom3                        : zcy_det_custom3;</v>
      </c>
      <c r="W135" t="str">
        <f>IFERROR(INDEX('[1]Resolved Data Elem'!$E$4:$E$1070,MATCH(J135,'[1]Resolved Data Elem'!$D$4:$D$1070,0)),"--")</f>
        <v>--</v>
      </c>
    </row>
    <row r="136" spans="2:23" x14ac:dyDescent="0.25">
      <c r="B136" s="22" t="s">
        <v>573</v>
      </c>
      <c r="C136" s="23"/>
      <c r="D136" s="23"/>
      <c r="E136" s="23"/>
      <c r="F136" s="23"/>
      <c r="G136" s="11"/>
      <c r="H136" t="s">
        <v>198</v>
      </c>
      <c r="I136" s="15" t="str">
        <f t="shared" si="11"/>
        <v>custom5</v>
      </c>
      <c r="J136" s="11" t="str">
        <f t="shared" si="12"/>
        <v>zcy_det_custom5</v>
      </c>
      <c r="K136" t="s">
        <v>198</v>
      </c>
      <c r="L136" s="17" t="s">
        <v>716</v>
      </c>
      <c r="M136" s="23"/>
      <c r="N136" s="23"/>
      <c r="O136" s="23"/>
      <c r="P136" s="11"/>
      <c r="Q136" t="s">
        <v>198</v>
      </c>
      <c r="R136" s="15" t="str">
        <f t="shared" si="8"/>
        <v>custom5</v>
      </c>
      <c r="S136" s="11" t="str">
        <f t="shared" si="9"/>
        <v>abap.char(40);</v>
      </c>
      <c r="V136" t="str">
        <f t="shared" si="10"/>
        <v xml:space="preserve">  custom5                        : zcy_det_custom5;</v>
      </c>
      <c r="W136" t="str">
        <f>IFERROR(INDEX('[1]Resolved Data Elem'!$E$4:$E$1070,MATCH(J136,'[1]Resolved Data Elem'!$D$4:$D$1070,0)),"--")</f>
        <v>--</v>
      </c>
    </row>
    <row r="137" spans="2:23" x14ac:dyDescent="0.25">
      <c r="B137" s="22" t="s">
        <v>574</v>
      </c>
      <c r="C137" s="23"/>
      <c r="D137" s="23"/>
      <c r="E137" s="23"/>
      <c r="F137" s="23"/>
      <c r="G137" s="11"/>
      <c r="H137" t="s">
        <v>198</v>
      </c>
      <c r="I137" s="15" t="str">
        <f t="shared" si="11"/>
        <v>custom6</v>
      </c>
      <c r="J137" s="11" t="str">
        <f t="shared" si="12"/>
        <v>zcy_det_custom6</v>
      </c>
      <c r="K137" t="s">
        <v>198</v>
      </c>
      <c r="L137" s="17" t="s">
        <v>717</v>
      </c>
      <c r="M137" s="23"/>
      <c r="N137" s="23"/>
      <c r="O137" s="23"/>
      <c r="P137" s="11"/>
      <c r="Q137" t="s">
        <v>198</v>
      </c>
      <c r="R137" s="15" t="str">
        <f t="shared" si="8"/>
        <v>custom6</v>
      </c>
      <c r="S137" s="11" t="str">
        <f t="shared" si="9"/>
        <v>abap.char(40);</v>
      </c>
      <c r="V137" t="str">
        <f t="shared" si="10"/>
        <v xml:space="preserve">  custom6                        : zcy_det_custom6;</v>
      </c>
      <c r="W137" t="str">
        <f>IFERROR(INDEX('[1]Resolved Data Elem'!$E$4:$E$1070,MATCH(J137,'[1]Resolved Data Elem'!$D$4:$D$1070,0)),"--")</f>
        <v>--</v>
      </c>
    </row>
    <row r="138" spans="2:23" x14ac:dyDescent="0.25">
      <c r="B138" s="22" t="s">
        <v>575</v>
      </c>
      <c r="C138" s="23"/>
      <c r="D138" s="23"/>
      <c r="E138" s="23"/>
      <c r="F138" s="23"/>
      <c r="G138" s="11"/>
      <c r="H138" t="s">
        <v>198</v>
      </c>
      <c r="I138" s="15" t="str">
        <f t="shared" si="11"/>
        <v>custom7</v>
      </c>
      <c r="J138" s="11" t="str">
        <f t="shared" si="12"/>
        <v>zcy_det_custom7</v>
      </c>
      <c r="K138" t="s">
        <v>198</v>
      </c>
      <c r="L138" s="17" t="s">
        <v>718</v>
      </c>
      <c r="M138" s="23"/>
      <c r="N138" s="23"/>
      <c r="O138" s="23"/>
      <c r="P138" s="11"/>
      <c r="Q138" t="s">
        <v>198</v>
      </c>
      <c r="R138" s="15" t="str">
        <f t="shared" ref="R138:R201" si="13">TRIM(SUBSTITUTE(MID(L138,1,FIND(":",L138)-1),"key",""))</f>
        <v>custom7</v>
      </c>
      <c r="S138" s="11" t="str">
        <f t="shared" ref="S138:S201" si="14">TRIM(MID(L138,FIND(":",L138)+1,LEN(L138)))</f>
        <v>abap.char(40);</v>
      </c>
      <c r="V138" t="str">
        <f t="shared" ref="V138:V201" si="15">IF(OR(ISERROR(W138),W138="--"),B138,IF(ISNUMBER(SEARCH("@",I138)),B138,I138&amp;"  :  "&amp;IF(W138="",J138,W138)))</f>
        <v xml:space="preserve">  custom7                        : zcy_det_custom7;</v>
      </c>
      <c r="W138" t="str">
        <f>IFERROR(INDEX('[1]Resolved Data Elem'!$E$4:$E$1070,MATCH(J138,'[1]Resolved Data Elem'!$D$4:$D$1070,0)),"--")</f>
        <v>--</v>
      </c>
    </row>
    <row r="139" spans="2:23" x14ac:dyDescent="0.25">
      <c r="B139" s="22" t="s">
        <v>576</v>
      </c>
      <c r="C139" s="23"/>
      <c r="D139" s="23"/>
      <c r="E139" s="23"/>
      <c r="F139" s="23"/>
      <c r="G139" s="11"/>
      <c r="H139" t="s">
        <v>198</v>
      </c>
      <c r="I139" s="15" t="str">
        <f t="shared" ref="I139:I202" si="16">IF(B139="","",TRIM(MID(B139,1,FIND(":",B139)-1)))</f>
        <v>custom8</v>
      </c>
      <c r="J139" s="11" t="str">
        <f t="shared" ref="J139:J202" si="17">IF(B139="","",TRIM(SUBSTITUTE(SUBSTITUTE(TRIM(MID(B139,FIND(":",B139)+1,LEN(B139))),";",""),"not null","")))</f>
        <v>zcy_det_custom8</v>
      </c>
      <c r="K139" t="s">
        <v>198</v>
      </c>
      <c r="L139" s="17" t="s">
        <v>719</v>
      </c>
      <c r="M139" s="23"/>
      <c r="N139" s="23"/>
      <c r="O139" s="23"/>
      <c r="P139" s="11"/>
      <c r="Q139" t="s">
        <v>198</v>
      </c>
      <c r="R139" s="15" t="str">
        <f t="shared" si="13"/>
        <v>custom8</v>
      </c>
      <c r="S139" s="11" t="str">
        <f t="shared" si="14"/>
        <v>abap.char(40);</v>
      </c>
      <c r="V139" t="str">
        <f t="shared" si="15"/>
        <v xml:space="preserve">  custom8                        : zcy_det_custom8;</v>
      </c>
      <c r="W139" t="str">
        <f>IFERROR(INDEX('[1]Resolved Data Elem'!$E$4:$E$1070,MATCH(J139,'[1]Resolved Data Elem'!$D$4:$D$1070,0)),"--")</f>
        <v>--</v>
      </c>
    </row>
    <row r="140" spans="2:23" x14ac:dyDescent="0.25">
      <c r="B140" s="22" t="s">
        <v>577</v>
      </c>
      <c r="C140" s="23"/>
      <c r="D140" s="23"/>
      <c r="E140" s="23"/>
      <c r="F140" s="23"/>
      <c r="G140" s="11"/>
      <c r="H140" t="s">
        <v>198</v>
      </c>
      <c r="I140" s="15" t="str">
        <f t="shared" si="16"/>
        <v>custom10</v>
      </c>
      <c r="J140" s="11" t="str">
        <f t="shared" si="17"/>
        <v>zcy_det_custom10</v>
      </c>
      <c r="K140" t="s">
        <v>198</v>
      </c>
      <c r="L140" s="17" t="s">
        <v>720</v>
      </c>
      <c r="M140" s="23"/>
      <c r="N140" s="23"/>
      <c r="O140" s="23"/>
      <c r="P140" s="11"/>
      <c r="Q140" t="s">
        <v>198</v>
      </c>
      <c r="R140" s="15" t="str">
        <f t="shared" si="13"/>
        <v>custom10</v>
      </c>
      <c r="S140" s="11" t="str">
        <f t="shared" si="14"/>
        <v>abap.char(40);</v>
      </c>
      <c r="V140" t="str">
        <f t="shared" si="15"/>
        <v xml:space="preserve">  custom10                       : zcy_det_custom10;</v>
      </c>
      <c r="W140" t="str">
        <f>IFERROR(INDEX('[1]Resolved Data Elem'!$E$4:$E$1070,MATCH(J140,'[1]Resolved Data Elem'!$D$4:$D$1070,0)),"--")</f>
        <v>--</v>
      </c>
    </row>
    <row r="141" spans="2:23" x14ac:dyDescent="0.25">
      <c r="B141" s="22" t="s">
        <v>578</v>
      </c>
      <c r="C141" s="23"/>
      <c r="D141" s="23"/>
      <c r="E141" s="23"/>
      <c r="F141" s="23"/>
      <c r="G141" s="11"/>
      <c r="H141" t="s">
        <v>198</v>
      </c>
      <c r="I141" s="15" t="str">
        <f t="shared" si="16"/>
        <v>custom20</v>
      </c>
      <c r="J141" s="11" t="str">
        <f t="shared" si="17"/>
        <v>zcy_det_custom20</v>
      </c>
      <c r="K141" t="s">
        <v>198</v>
      </c>
      <c r="L141" s="17" t="s">
        <v>904</v>
      </c>
      <c r="M141" s="23"/>
      <c r="N141" s="23"/>
      <c r="O141" s="23"/>
      <c r="P141" s="11"/>
      <c r="Q141" t="s">
        <v>198</v>
      </c>
      <c r="R141" s="15" t="str">
        <f t="shared" si="13"/>
        <v>custom20</v>
      </c>
      <c r="S141" s="11" t="str">
        <f t="shared" si="14"/>
        <v>abap.char(40);</v>
      </c>
      <c r="V141" t="str">
        <f t="shared" si="15"/>
        <v xml:space="preserve">  custom20                       : zcy_det_custom20;</v>
      </c>
      <c r="W141" t="str">
        <f>IFERROR(INDEX('[1]Resolved Data Elem'!$E$4:$E$1070,MATCH(J141,'[1]Resolved Data Elem'!$D$4:$D$1070,0)),"--")</f>
        <v>--</v>
      </c>
    </row>
    <row r="142" spans="2:23" x14ac:dyDescent="0.25">
      <c r="B142" s="22" t="s">
        <v>579</v>
      </c>
      <c r="C142" s="23"/>
      <c r="D142" s="23"/>
      <c r="E142" s="23"/>
      <c r="F142" s="23"/>
      <c r="G142" s="11"/>
      <c r="H142" t="s">
        <v>198</v>
      </c>
      <c r="I142" s="15" t="str">
        <f t="shared" si="16"/>
        <v>natureofjwdone</v>
      </c>
      <c r="J142" s="11" t="str">
        <f t="shared" si="17"/>
        <v>zcy_det_natureofjwdone</v>
      </c>
      <c r="K142" t="s">
        <v>198</v>
      </c>
      <c r="L142" s="17" t="s">
        <v>905</v>
      </c>
      <c r="M142" s="23"/>
      <c r="N142" s="23"/>
      <c r="O142" s="23"/>
      <c r="P142" s="11"/>
      <c r="Q142" t="s">
        <v>198</v>
      </c>
      <c r="R142" s="15" t="str">
        <f t="shared" si="13"/>
        <v>natureofjwdone</v>
      </c>
      <c r="S142" s="11" t="str">
        <f t="shared" si="14"/>
        <v>abap.char(40);</v>
      </c>
      <c r="V142" t="str">
        <f t="shared" si="15"/>
        <v xml:space="preserve">  natureofjwdone                 : zcy_det_natureofjwdone;</v>
      </c>
      <c r="W142" t="str">
        <f>IFERROR(INDEX('[1]Resolved Data Elem'!$E$4:$E$1070,MATCH(J142,'[1]Resolved Data Elem'!$D$4:$D$1070,0)),"--")</f>
        <v>--</v>
      </c>
    </row>
    <row r="143" spans="2:23" x14ac:dyDescent="0.25">
      <c r="B143" s="22" t="s">
        <v>580</v>
      </c>
      <c r="C143" s="23"/>
      <c r="D143" s="23"/>
      <c r="E143" s="23"/>
      <c r="F143" s="23"/>
      <c r="G143" s="11"/>
      <c r="H143" t="s">
        <v>198</v>
      </c>
      <c r="I143" s="15" t="str">
        <f t="shared" si="16"/>
        <v>lossunitofmeasure</v>
      </c>
      <c r="J143" s="11" t="str">
        <f t="shared" si="17"/>
        <v>zcy_det_lossunitofmeasure</v>
      </c>
      <c r="K143" t="s">
        <v>198</v>
      </c>
      <c r="L143" s="17" t="s">
        <v>906</v>
      </c>
      <c r="M143" s="23"/>
      <c r="N143" s="23"/>
      <c r="O143" s="23"/>
      <c r="P143" s="11"/>
      <c r="Q143" t="s">
        <v>198</v>
      </c>
      <c r="R143" s="15" t="str">
        <f t="shared" si="13"/>
        <v>lossunitofmeasure</v>
      </c>
      <c r="S143" s="11" t="str">
        <f t="shared" si="14"/>
        <v>abap.char(8);</v>
      </c>
      <c r="V143" t="str">
        <f t="shared" si="15"/>
        <v xml:space="preserve">  lossunitofmeasure              : zcy_det_lossunitofmeasure;</v>
      </c>
      <c r="W143" t="str">
        <f>IFERROR(INDEX('[1]Resolved Data Elem'!$E$4:$E$1070,MATCH(J143,'[1]Resolved Data Elem'!$D$4:$D$1070,0)),"--")</f>
        <v>--</v>
      </c>
    </row>
    <row r="144" spans="2:23" x14ac:dyDescent="0.25">
      <c r="B144" s="22" t="s">
        <v>204</v>
      </c>
      <c r="C144" s="23"/>
      <c r="D144" s="23"/>
      <c r="E144" s="23"/>
      <c r="F144" s="23"/>
      <c r="G144" s="11"/>
      <c r="H144" t="s">
        <v>198</v>
      </c>
      <c r="I144" s="15" t="str">
        <f t="shared" si="16"/>
        <v>@Semantics.quantity.unitOfMeasure</v>
      </c>
      <c r="J144" s="11" t="str">
        <f t="shared" si="17"/>
        <v>'vbap.zieme'</v>
      </c>
      <c r="K144" t="s">
        <v>198</v>
      </c>
      <c r="L144" s="10" t="s">
        <v>907</v>
      </c>
      <c r="M144" s="23"/>
      <c r="N144" s="23"/>
      <c r="O144" s="23"/>
      <c r="P144" s="11"/>
      <c r="Q144" t="s">
        <v>198</v>
      </c>
      <c r="R144" s="15" t="str">
        <f t="shared" si="13"/>
        <v>@Semantics.quantity.unitOfMeasure</v>
      </c>
      <c r="S144" s="11" t="str">
        <f t="shared" si="14"/>
        <v>'vbap.zieme'</v>
      </c>
      <c r="V144" t="str">
        <f t="shared" si="15"/>
        <v xml:space="preserve">  @Semantics.quantity.unitOfMeasure : 'vbap.zieme'</v>
      </c>
      <c r="W144" t="str">
        <f>IFERROR(INDEX('[1]Resolved Data Elem'!$E$4:$E$1070,MATCH(J144,'[1]Resolved Data Elem'!$D$4:$D$1070,0)),"--")</f>
        <v>--</v>
      </c>
    </row>
    <row r="145" spans="2:23" x14ac:dyDescent="0.25">
      <c r="B145" s="22" t="s">
        <v>581</v>
      </c>
      <c r="C145" s="23"/>
      <c r="D145" s="23"/>
      <c r="E145" s="23"/>
      <c r="F145" s="23"/>
      <c r="G145" s="11"/>
      <c r="H145" t="s">
        <v>198</v>
      </c>
      <c r="I145" s="15" t="str">
        <f t="shared" si="16"/>
        <v>losstotalquantity</v>
      </c>
      <c r="J145" s="11" t="str">
        <f t="shared" si="17"/>
        <v>zcy_det_losstotalquantity</v>
      </c>
      <c r="K145" t="s">
        <v>198</v>
      </c>
      <c r="L145" s="17" t="s">
        <v>908</v>
      </c>
      <c r="M145" s="23"/>
      <c r="N145" s="23"/>
      <c r="O145" s="23"/>
      <c r="P145" s="11"/>
      <c r="Q145" t="s">
        <v>198</v>
      </c>
      <c r="R145" s="15" t="str">
        <f t="shared" si="13"/>
        <v>losstotalquantity</v>
      </c>
      <c r="S145" s="11" t="str">
        <f t="shared" si="14"/>
        <v>abap.quan(13,3);</v>
      </c>
      <c r="V145" t="str">
        <f t="shared" si="15"/>
        <v xml:space="preserve">  losstotalquantity              : zcy_det_losstotalquantity;</v>
      </c>
      <c r="W145" t="str">
        <f>IFERROR(INDEX('[1]Resolved Data Elem'!$E$4:$E$1070,MATCH(J145,'[1]Resolved Data Elem'!$D$4:$D$1070,0)),"--")</f>
        <v>--</v>
      </c>
    </row>
    <row r="146" spans="2:23" x14ac:dyDescent="0.25">
      <c r="B146" s="22" t="s">
        <v>582</v>
      </c>
      <c r="C146" s="23"/>
      <c r="D146" s="23"/>
      <c r="E146" s="23"/>
      <c r="F146" s="23"/>
      <c r="G146" s="11"/>
      <c r="H146" t="s">
        <v>198</v>
      </c>
      <c r="I146" s="15" t="str">
        <f t="shared" si="16"/>
        <v>pusherrors</v>
      </c>
      <c r="J146" s="11" t="str">
        <f t="shared" si="17"/>
        <v>zcy_det_pusherrors</v>
      </c>
      <c r="K146" t="s">
        <v>198</v>
      </c>
      <c r="L146" s="17" t="s">
        <v>909</v>
      </c>
      <c r="M146" s="23"/>
      <c r="N146" s="23"/>
      <c r="O146" s="23"/>
      <c r="P146" s="11"/>
      <c r="Q146" t="s">
        <v>198</v>
      </c>
      <c r="R146" s="15" t="str">
        <f t="shared" si="13"/>
        <v>pusherrors</v>
      </c>
      <c r="S146" s="11" t="str">
        <f t="shared" si="14"/>
        <v>abap.char(40);</v>
      </c>
      <c r="V146" t="str">
        <f t="shared" si="15"/>
        <v xml:space="preserve">  pusherrors                     : zcy_det_pusherrors;</v>
      </c>
      <c r="W146" t="str">
        <f>IFERROR(INDEX('[1]Resolved Data Elem'!$E$4:$E$1070,MATCH(J146,'[1]Resolved Data Elem'!$D$4:$D$1070,0)),"--")</f>
        <v>--</v>
      </c>
    </row>
    <row r="147" spans="2:23" x14ac:dyDescent="0.25">
      <c r="B147" s="22" t="s">
        <v>583</v>
      </c>
      <c r="C147" s="23"/>
      <c r="D147" s="23"/>
      <c r="E147" s="23"/>
      <c r="F147" s="23"/>
      <c r="G147" s="11"/>
      <c r="H147" t="s">
        <v>198</v>
      </c>
      <c r="I147" s="15" t="str">
        <f t="shared" si="16"/>
        <v>pushstatus</v>
      </c>
      <c r="J147" s="11" t="str">
        <f t="shared" si="17"/>
        <v>zcy_det_pushstatus</v>
      </c>
      <c r="K147" t="s">
        <v>198</v>
      </c>
      <c r="L147" s="17" t="s">
        <v>910</v>
      </c>
      <c r="M147" s="23"/>
      <c r="N147" s="23"/>
      <c r="O147" s="23"/>
      <c r="P147" s="11"/>
      <c r="Q147" t="s">
        <v>198</v>
      </c>
      <c r="R147" s="15" t="str">
        <f t="shared" si="13"/>
        <v>pushstatus</v>
      </c>
      <c r="S147" s="11" t="str">
        <f t="shared" si="14"/>
        <v>abap.char(3);</v>
      </c>
      <c r="V147" t="str">
        <f t="shared" si="15"/>
        <v xml:space="preserve">  pushstatus                     : zcy_det_pushstatus;</v>
      </c>
      <c r="W147" t="str">
        <f>IFERROR(INDEX('[1]Resolved Data Elem'!$E$4:$E$1070,MATCH(J147,'[1]Resolved Data Elem'!$D$4:$D$1070,0)),"--")</f>
        <v>--</v>
      </c>
    </row>
    <row r="148" spans="2:23" x14ac:dyDescent="0.25">
      <c r="B148" s="22" t="s">
        <v>584</v>
      </c>
      <c r="C148" s="23"/>
      <c r="D148" s="23"/>
      <c r="E148" s="23"/>
      <c r="F148" s="23"/>
      <c r="G148" s="11"/>
      <c r="H148" t="s">
        <v>198</v>
      </c>
      <c r="I148" s="15" t="str">
        <f t="shared" si="16"/>
        <v>gstaction</v>
      </c>
      <c r="J148" s="11" t="str">
        <f t="shared" si="17"/>
        <v>zcy_det_gstaction</v>
      </c>
      <c r="K148" t="s">
        <v>198</v>
      </c>
      <c r="L148" s="17" t="s">
        <v>911</v>
      </c>
      <c r="M148" s="23"/>
      <c r="N148" s="23"/>
      <c r="O148" s="23"/>
      <c r="P148" s="11"/>
      <c r="Q148" t="s">
        <v>198</v>
      </c>
      <c r="R148" s="15" t="str">
        <f t="shared" si="13"/>
        <v>gstaction</v>
      </c>
      <c r="S148" s="11" t="str">
        <f t="shared" si="14"/>
        <v>abap.char(40);</v>
      </c>
      <c r="V148" t="str">
        <f t="shared" si="15"/>
        <v xml:space="preserve">  gstaction                      : zcy_det_gstaction;</v>
      </c>
      <c r="W148" t="str">
        <f>IFERROR(INDEX('[1]Resolved Data Elem'!$E$4:$E$1070,MATCH(J148,'[1]Resolved Data Elem'!$D$4:$D$1070,0)),"--")</f>
        <v>--</v>
      </c>
    </row>
    <row r="149" spans="2:23" x14ac:dyDescent="0.25">
      <c r="B149" s="22" t="s">
        <v>585</v>
      </c>
      <c r="C149" s="23"/>
      <c r="D149" s="23"/>
      <c r="E149" s="23"/>
      <c r="F149" s="23"/>
      <c r="G149" s="11"/>
      <c r="H149" t="s">
        <v>198</v>
      </c>
      <c r="I149" s="15" t="str">
        <f t="shared" si="16"/>
        <v>reconciliationsection</v>
      </c>
      <c r="J149" s="11" t="str">
        <f t="shared" si="17"/>
        <v>zcy_det_reconciliationsection</v>
      </c>
      <c r="K149" t="s">
        <v>198</v>
      </c>
      <c r="L149" s="17" t="s">
        <v>912</v>
      </c>
      <c r="M149" s="23"/>
      <c r="N149" s="23"/>
      <c r="O149" s="23"/>
      <c r="P149" s="11"/>
      <c r="Q149" t="s">
        <v>198</v>
      </c>
      <c r="R149" s="15" t="str">
        <f t="shared" si="13"/>
        <v>reconciliationsection</v>
      </c>
      <c r="S149" s="11" t="str">
        <f t="shared" si="14"/>
        <v>abap.char(40);</v>
      </c>
      <c r="V149" t="str">
        <f t="shared" si="15"/>
        <v xml:space="preserve">  reconciliationsection          : zcy_det_reconciliationsection;</v>
      </c>
      <c r="W149" t="str">
        <f>IFERROR(INDEX('[1]Resolved Data Elem'!$E$4:$E$1070,MATCH(J149,'[1]Resolved Data Elem'!$D$4:$D$1070,0)),"--")</f>
        <v>--</v>
      </c>
    </row>
    <row r="150" spans="2:23" x14ac:dyDescent="0.25">
      <c r="B150" s="22" t="s">
        <v>586</v>
      </c>
      <c r="C150" s="23"/>
      <c r="D150" s="23"/>
      <c r="E150" s="23"/>
      <c r="F150" s="23"/>
      <c r="G150" s="11"/>
      <c r="H150" t="s">
        <v>198</v>
      </c>
      <c r="I150" s="15" t="str">
        <f t="shared" si="16"/>
        <v>pushdate</v>
      </c>
      <c r="J150" s="11" t="str">
        <f t="shared" si="17"/>
        <v>zcy_det_pushdate</v>
      </c>
      <c r="K150" t="s">
        <v>198</v>
      </c>
      <c r="L150" s="17" t="s">
        <v>913</v>
      </c>
      <c r="M150" s="23"/>
      <c r="N150" s="23"/>
      <c r="O150" s="23"/>
      <c r="P150" s="11"/>
      <c r="Q150" t="s">
        <v>198</v>
      </c>
      <c r="R150" s="15" t="str">
        <f t="shared" si="13"/>
        <v>pushdate</v>
      </c>
      <c r="S150" s="11" t="str">
        <f t="shared" si="14"/>
        <v>abap.char(40);</v>
      </c>
      <c r="V150" t="str">
        <f t="shared" si="15"/>
        <v xml:space="preserve">  pushdate                       : zcy_det_pushdate;</v>
      </c>
      <c r="W150" t="str">
        <f>IFERROR(INDEX('[1]Resolved Data Elem'!$E$4:$E$1070,MATCH(J150,'[1]Resolved Data Elem'!$D$4:$D$1070,0)),"--")</f>
        <v>--</v>
      </c>
    </row>
    <row r="151" spans="2:23" x14ac:dyDescent="0.25">
      <c r="B151" s="22" t="s">
        <v>587</v>
      </c>
      <c r="C151" s="23"/>
      <c r="D151" s="23"/>
      <c r="E151" s="23"/>
      <c r="F151" s="23"/>
      <c r="G151" s="11"/>
      <c r="H151" t="s">
        <v>198</v>
      </c>
      <c r="I151" s="15" t="str">
        <f t="shared" si="16"/>
        <v>cancelleddate</v>
      </c>
      <c r="J151" s="11" t="str">
        <f t="shared" si="17"/>
        <v>zcy_det_cancelleddate</v>
      </c>
      <c r="K151" t="s">
        <v>198</v>
      </c>
      <c r="L151" s="17" t="s">
        <v>914</v>
      </c>
      <c r="M151" s="23"/>
      <c r="N151" s="23"/>
      <c r="O151" s="23"/>
      <c r="P151" s="11"/>
      <c r="Q151" t="s">
        <v>198</v>
      </c>
      <c r="R151" s="15" t="str">
        <f t="shared" si="13"/>
        <v>cancelleddate</v>
      </c>
      <c r="S151" s="11" t="str">
        <f t="shared" si="14"/>
        <v>abap.char(10);</v>
      </c>
      <c r="V151" t="str">
        <f t="shared" si="15"/>
        <v xml:space="preserve">  cancelleddate                  : zcy_det_cancelleddate;</v>
      </c>
      <c r="W151" t="str">
        <f>IFERROR(INDEX('[1]Resolved Data Elem'!$E$4:$E$1070,MATCH(J151,'[1]Resolved Data Elem'!$D$4:$D$1070,0)),"--")</f>
        <v>--</v>
      </c>
    </row>
    <row r="152" spans="2:23" x14ac:dyDescent="0.25">
      <c r="B152" s="22" t="s">
        <v>588</v>
      </c>
      <c r="C152" s="23"/>
      <c r="D152" s="23"/>
      <c r="E152" s="23"/>
      <c r="F152" s="23"/>
      <c r="G152" s="11"/>
      <c r="H152" t="s">
        <v>198</v>
      </c>
      <c r="I152" s="15" t="str">
        <f t="shared" si="16"/>
        <v>ispregstregime</v>
      </c>
      <c r="J152" s="11" t="str">
        <f t="shared" si="17"/>
        <v>zcy_det_ispregstregime</v>
      </c>
      <c r="K152" t="s">
        <v>198</v>
      </c>
      <c r="L152" s="17" t="s">
        <v>915</v>
      </c>
      <c r="M152" s="23"/>
      <c r="N152" s="23"/>
      <c r="O152" s="23"/>
      <c r="P152" s="11"/>
      <c r="Q152" t="s">
        <v>198</v>
      </c>
      <c r="R152" s="15" t="str">
        <f t="shared" si="13"/>
        <v>ispregstregime</v>
      </c>
      <c r="S152" s="11" t="str">
        <f t="shared" si="14"/>
        <v>abap.char(40);</v>
      </c>
      <c r="V152" t="str">
        <f t="shared" si="15"/>
        <v xml:space="preserve">  ispregstregime                 : zcy_det_ispregstregime;</v>
      </c>
      <c r="W152" t="str">
        <f>IFERROR(INDEX('[1]Resolved Data Elem'!$E$4:$E$1070,MATCH(J152,'[1]Resolved Data Elem'!$D$4:$D$1070,0)),"--")</f>
        <v>--</v>
      </c>
    </row>
    <row r="153" spans="2:23" x14ac:dyDescent="0.25">
      <c r="B153" s="22" t="s">
        <v>589</v>
      </c>
      <c r="C153" s="23"/>
      <c r="D153" s="23"/>
      <c r="E153" s="23"/>
      <c r="F153" s="23"/>
      <c r="G153" s="11"/>
      <c r="H153" t="s">
        <v>198</v>
      </c>
      <c r="I153" s="15" t="str">
        <f t="shared" si="16"/>
        <v>amendedtype</v>
      </c>
      <c r="J153" s="11" t="str">
        <f t="shared" si="17"/>
        <v>zcy_det_amendedtype</v>
      </c>
      <c r="K153" t="s">
        <v>198</v>
      </c>
      <c r="L153" s="17" t="s">
        <v>916</v>
      </c>
      <c r="M153" s="23"/>
      <c r="N153" s="23"/>
      <c r="O153" s="23"/>
      <c r="P153" s="11"/>
      <c r="Q153" t="s">
        <v>198</v>
      </c>
      <c r="R153" s="15" t="str">
        <f t="shared" si="13"/>
        <v>amendedtype</v>
      </c>
      <c r="S153" s="11" t="str">
        <f t="shared" si="14"/>
        <v>abap.char(40);</v>
      </c>
      <c r="V153" t="str">
        <f t="shared" si="15"/>
        <v xml:space="preserve">  amendedtype                    : zcy_det_amendedtype;</v>
      </c>
      <c r="W153" t="str">
        <f>IFERROR(INDEX('[1]Resolved Data Elem'!$E$4:$E$1070,MATCH(J153,'[1]Resolved Data Elem'!$D$4:$D$1070,0)),"--")</f>
        <v>--</v>
      </c>
    </row>
    <row r="154" spans="2:23" x14ac:dyDescent="0.25">
      <c r="B154" s="22" t="s">
        <v>767</v>
      </c>
      <c r="C154" s="23"/>
      <c r="D154" s="23"/>
      <c r="E154" s="23"/>
      <c r="F154" s="23"/>
      <c r="G154" s="11"/>
      <c r="H154" t="s">
        <v>198</v>
      </c>
      <c r="I154" s="15" t="str">
        <f t="shared" si="16"/>
        <v>isgstr3bfiled</v>
      </c>
      <c r="J154" s="11" t="str">
        <f t="shared" si="17"/>
        <v>zcy_det_isgstr3bfiled</v>
      </c>
      <c r="K154" t="s">
        <v>198</v>
      </c>
      <c r="L154" s="17" t="s">
        <v>917</v>
      </c>
      <c r="M154" s="23"/>
      <c r="N154" s="23"/>
      <c r="O154" s="23"/>
      <c r="P154" s="11"/>
      <c r="Q154" t="s">
        <v>198</v>
      </c>
      <c r="R154" s="15" t="str">
        <f t="shared" si="13"/>
        <v>isgstr3bfiled</v>
      </c>
      <c r="S154" s="11" t="str">
        <f t="shared" si="14"/>
        <v>abap.char(40);</v>
      </c>
      <c r="V154" t="str">
        <f t="shared" si="15"/>
        <v xml:space="preserve">  isgstr3bfiled                   : zcy_det_isgstr3bfiled;</v>
      </c>
      <c r="W154" t="str">
        <f>IFERROR(INDEX('[1]Resolved Data Elem'!$E$4:$E$1070,MATCH(J154,'[1]Resolved Data Elem'!$D$4:$D$1070,0)),"--")</f>
        <v>--</v>
      </c>
    </row>
    <row r="155" spans="2:23" x14ac:dyDescent="0.25">
      <c r="B155" s="22" t="s">
        <v>590</v>
      </c>
      <c r="C155" s="23"/>
      <c r="D155" s="23"/>
      <c r="E155" s="23"/>
      <c r="F155" s="23"/>
      <c r="G155" s="11"/>
      <c r="H155" t="s">
        <v>198</v>
      </c>
      <c r="I155" s="15" t="str">
        <f t="shared" si="16"/>
        <v>isgstr3bfildate</v>
      </c>
      <c r="J155" s="11" t="str">
        <f t="shared" si="17"/>
        <v>zcy_det_is3bfilingdate</v>
      </c>
      <c r="K155" t="s">
        <v>198</v>
      </c>
      <c r="L155" s="17" t="s">
        <v>918</v>
      </c>
      <c r="M155" s="23"/>
      <c r="N155" s="23"/>
      <c r="O155" s="23"/>
      <c r="P155" s="11"/>
      <c r="Q155" t="s">
        <v>198</v>
      </c>
      <c r="R155" s="15" t="str">
        <f t="shared" si="13"/>
        <v>isgstr3bfildate</v>
      </c>
      <c r="S155" s="11" t="str">
        <f t="shared" si="14"/>
        <v>abap.char(40);</v>
      </c>
      <c r="V155" t="str">
        <f t="shared" si="15"/>
        <v xml:space="preserve">  isgstr3bfildate                : zcy_det_is3bfilingdate;</v>
      </c>
      <c r="W155" t="str">
        <f>IFERROR(INDEX('[1]Resolved Data Elem'!$E$4:$E$1070,MATCH(J155,'[1]Resolved Data Elem'!$D$4:$D$1070,0)),"--")</f>
        <v>--</v>
      </c>
    </row>
    <row r="156" spans="2:23" x14ac:dyDescent="0.25">
      <c r="B156" s="22" t="s">
        <v>591</v>
      </c>
      <c r="C156" s="23"/>
      <c r="D156" s="23"/>
      <c r="E156" s="23"/>
      <c r="F156" s="23"/>
      <c r="G156" s="11"/>
      <c r="H156" t="s">
        <v>198</v>
      </c>
      <c r="I156" s="15" t="str">
        <f t="shared" si="16"/>
        <v>filingdate</v>
      </c>
      <c r="J156" s="11" t="str">
        <f t="shared" si="17"/>
        <v>zcy_det_filingdate</v>
      </c>
      <c r="K156" t="s">
        <v>198</v>
      </c>
      <c r="L156" s="17" t="s">
        <v>919</v>
      </c>
      <c r="M156" s="23"/>
      <c r="N156" s="23"/>
      <c r="O156" s="23"/>
      <c r="P156" s="11"/>
      <c r="Q156" t="s">
        <v>198</v>
      </c>
      <c r="R156" s="15" t="str">
        <f t="shared" si="13"/>
        <v>filingdate</v>
      </c>
      <c r="S156" s="11" t="str">
        <f t="shared" si="14"/>
        <v>abap.char(40);</v>
      </c>
      <c r="V156" t="str">
        <f t="shared" si="15"/>
        <v xml:space="preserve">  filingdate                     : zcy_det_filingdate;</v>
      </c>
      <c r="W156" t="str">
        <f>IFERROR(INDEX('[1]Resolved Data Elem'!$E$4:$E$1070,MATCH(J156,'[1]Resolved Data Elem'!$D$4:$D$1070,0)),"--")</f>
        <v>--</v>
      </c>
    </row>
    <row r="157" spans="2:23" x14ac:dyDescent="0.25">
      <c r="B157" s="22" t="s">
        <v>592</v>
      </c>
      <c r="C157" s="23"/>
      <c r="D157" s="23"/>
      <c r="E157" s="23"/>
      <c r="F157" s="23"/>
      <c r="G157" s="11"/>
      <c r="H157" t="s">
        <v>198</v>
      </c>
      <c r="I157" s="15" t="str">
        <f t="shared" si="16"/>
        <v>filingreturnperiod</v>
      </c>
      <c r="J157" s="11" t="str">
        <f t="shared" si="17"/>
        <v>zcy_det_filingreturnperiod</v>
      </c>
      <c r="K157" t="s">
        <v>198</v>
      </c>
      <c r="L157" s="17" t="s">
        <v>920</v>
      </c>
      <c r="M157" s="23"/>
      <c r="N157" s="23"/>
      <c r="O157" s="23"/>
      <c r="P157" s="11"/>
      <c r="Q157" t="s">
        <v>198</v>
      </c>
      <c r="R157" s="15" t="str">
        <f t="shared" si="13"/>
        <v>filingreturnperiod</v>
      </c>
      <c r="S157" s="11" t="str">
        <f t="shared" si="14"/>
        <v>abap.char(40);</v>
      </c>
      <c r="V157" t="str">
        <f t="shared" si="15"/>
        <v xml:space="preserve">  filingreturnperiod             : zcy_det_filingreturnperiod;</v>
      </c>
      <c r="W157" t="str">
        <f>IFERROR(INDEX('[1]Resolved Data Elem'!$E$4:$E$1070,MATCH(J157,'[1]Resolved Data Elem'!$D$4:$D$1070,0)),"--")</f>
        <v>--</v>
      </c>
    </row>
    <row r="158" spans="2:23" x14ac:dyDescent="0.25">
      <c r="B158" s="22" t="s">
        <v>593</v>
      </c>
      <c r="C158" s="23"/>
      <c r="D158" s="23"/>
      <c r="E158" s="23"/>
      <c r="F158" s="23"/>
      <c r="G158" s="11"/>
      <c r="H158" t="s">
        <v>198</v>
      </c>
      <c r="I158" s="15" t="str">
        <f t="shared" si="16"/>
        <v>filingstatus</v>
      </c>
      <c r="J158" s="11" t="str">
        <f t="shared" si="17"/>
        <v>zcy_det_filingstatus</v>
      </c>
      <c r="K158" t="s">
        <v>198</v>
      </c>
      <c r="L158" s="17" t="s">
        <v>921</v>
      </c>
      <c r="M158" s="23"/>
      <c r="N158" s="23"/>
      <c r="O158" s="23"/>
      <c r="P158" s="11"/>
      <c r="Q158" t="s">
        <v>198</v>
      </c>
      <c r="R158" s="15" t="str">
        <f t="shared" si="13"/>
        <v>filingstatus</v>
      </c>
      <c r="S158" s="11" t="str">
        <f t="shared" si="14"/>
        <v>abap.char(40);</v>
      </c>
      <c r="V158" t="str">
        <f t="shared" si="15"/>
        <v xml:space="preserve">  filingstatus                   : zcy_det_filingstatus;</v>
      </c>
      <c r="W158" t="str">
        <f>IFERROR(INDEX('[1]Resolved Data Elem'!$E$4:$E$1070,MATCH(J158,'[1]Resolved Data Elem'!$D$4:$D$1070,0)),"--")</f>
        <v>--</v>
      </c>
    </row>
    <row r="159" spans="2:23" x14ac:dyDescent="0.25">
      <c r="B159" s="22" t="s">
        <v>594</v>
      </c>
      <c r="C159" s="23"/>
      <c r="D159" s="23"/>
      <c r="E159" s="23"/>
      <c r="F159" s="23"/>
      <c r="G159" s="11"/>
      <c r="H159" t="s">
        <v>198</v>
      </c>
      <c r="I159" s="15" t="str">
        <f t="shared" si="16"/>
        <v>isservice</v>
      </c>
      <c r="J159" s="11" t="str">
        <f t="shared" si="17"/>
        <v>zcy_det_isservice</v>
      </c>
      <c r="K159" t="s">
        <v>198</v>
      </c>
      <c r="L159" s="17" t="s">
        <v>922</v>
      </c>
      <c r="M159" s="23"/>
      <c r="N159" s="23"/>
      <c r="O159" s="23"/>
      <c r="P159" s="11"/>
      <c r="Q159" t="s">
        <v>198</v>
      </c>
      <c r="R159" s="15" t="str">
        <f t="shared" si="13"/>
        <v>isservice</v>
      </c>
      <c r="S159" s="11" t="str">
        <f t="shared" si="14"/>
        <v>abap.char(1);</v>
      </c>
      <c r="V159" t="str">
        <f t="shared" si="15"/>
        <v xml:space="preserve">  isservice                      : zcy_det_isservice;</v>
      </c>
      <c r="W159" t="str">
        <f>IFERROR(INDEX('[1]Resolved Data Elem'!$E$4:$E$1070,MATCH(J159,'[1]Resolved Data Elem'!$D$4:$D$1070,0)),"--")</f>
        <v>--</v>
      </c>
    </row>
    <row r="160" spans="2:23" x14ac:dyDescent="0.25">
      <c r="B160" s="22" t="s">
        <v>595</v>
      </c>
      <c r="C160" s="23"/>
      <c r="D160" s="23"/>
      <c r="E160" s="23"/>
      <c r="F160" s="23"/>
      <c r="G160" s="11"/>
      <c r="H160" t="s">
        <v>198</v>
      </c>
      <c r="I160" s="15" t="str">
        <f t="shared" si="16"/>
        <v>hsn</v>
      </c>
      <c r="J160" s="11" t="str">
        <f t="shared" si="17"/>
        <v>zcy_det_hsn</v>
      </c>
      <c r="K160" t="s">
        <v>198</v>
      </c>
      <c r="L160" s="17" t="s">
        <v>923</v>
      </c>
      <c r="M160" s="23"/>
      <c r="N160" s="23"/>
      <c r="O160" s="23"/>
      <c r="P160" s="11"/>
      <c r="Q160" t="s">
        <v>198</v>
      </c>
      <c r="R160" s="15" t="str">
        <f t="shared" si="13"/>
        <v>hsn</v>
      </c>
      <c r="S160" s="11" t="str">
        <f t="shared" si="14"/>
        <v>abap.char(8);</v>
      </c>
      <c r="V160" t="str">
        <f t="shared" si="15"/>
        <v xml:space="preserve">  hsn                            : zcy_det_hsn;</v>
      </c>
      <c r="W160" t="str">
        <f>IFERROR(INDEX('[1]Resolved Data Elem'!$E$4:$E$1070,MATCH(J160,'[1]Resolved Data Elem'!$D$4:$D$1070,0)),"--")</f>
        <v>--</v>
      </c>
    </row>
    <row r="161" spans="2:23" x14ac:dyDescent="0.25">
      <c r="B161" s="22" t="s">
        <v>596</v>
      </c>
      <c r="C161" s="23"/>
      <c r="D161" s="23"/>
      <c r="E161" s="23"/>
      <c r="F161" s="23"/>
      <c r="G161" s="11"/>
      <c r="H161" t="s">
        <v>198</v>
      </c>
      <c r="I161" s="15" t="str">
        <f t="shared" si="16"/>
        <v>productcode</v>
      </c>
      <c r="J161" s="11" t="str">
        <f t="shared" si="17"/>
        <v>zcy_det_productcode</v>
      </c>
      <c r="K161" t="s">
        <v>198</v>
      </c>
      <c r="L161" s="17" t="s">
        <v>924</v>
      </c>
      <c r="M161" s="23"/>
      <c r="N161" s="23"/>
      <c r="O161" s="23"/>
      <c r="P161" s="11"/>
      <c r="Q161" t="s">
        <v>198</v>
      </c>
      <c r="R161" s="15" t="str">
        <f t="shared" si="13"/>
        <v>productcode</v>
      </c>
      <c r="S161" s="11" t="str">
        <f t="shared" si="14"/>
        <v>abap.char(18);</v>
      </c>
      <c r="V161" t="str">
        <f t="shared" si="15"/>
        <v xml:space="preserve">  productcode                    : zcy_det_productcode;</v>
      </c>
      <c r="W161" t="str">
        <f>IFERROR(INDEX('[1]Resolved Data Elem'!$E$4:$E$1070,MATCH(J161,'[1]Resolved Data Elem'!$D$4:$D$1070,0)),"--")</f>
        <v>--</v>
      </c>
    </row>
    <row r="162" spans="2:23" x14ac:dyDescent="0.25">
      <c r="B162" s="22" t="s">
        <v>768</v>
      </c>
      <c r="C162" s="23"/>
      <c r="D162" s="23"/>
      <c r="E162" s="23"/>
      <c r="F162" s="23"/>
      <c r="G162" s="11"/>
      <c r="H162" t="s">
        <v>198</v>
      </c>
      <c r="I162" s="15" t="str">
        <f t="shared" si="16"/>
        <v>name</v>
      </c>
      <c r="J162" s="11" t="str">
        <f t="shared" si="17"/>
        <v>zcy_det_name</v>
      </c>
      <c r="K162" t="s">
        <v>198</v>
      </c>
      <c r="L162" s="17" t="s">
        <v>925</v>
      </c>
      <c r="M162" s="23"/>
      <c r="N162" s="23"/>
      <c r="O162" s="23"/>
      <c r="P162" s="11"/>
      <c r="Q162" t="s">
        <v>198</v>
      </c>
      <c r="R162" s="15" t="str">
        <f t="shared" si="13"/>
        <v>name</v>
      </c>
      <c r="S162" s="11" t="str">
        <f t="shared" si="14"/>
        <v>abap.char(15);</v>
      </c>
      <c r="V162" t="str">
        <f t="shared" si="15"/>
        <v xml:space="preserve">  name                           : zcy_det_name;</v>
      </c>
      <c r="W162" t="str">
        <f>IFERROR(INDEX('[1]Resolved Data Elem'!$E$4:$E$1070,MATCH(J162,'[1]Resolved Data Elem'!$D$4:$D$1070,0)),"--")</f>
        <v>--</v>
      </c>
    </row>
    <row r="163" spans="2:23" x14ac:dyDescent="0.25">
      <c r="B163" s="22" t="s">
        <v>597</v>
      </c>
      <c r="C163" s="23"/>
      <c r="D163" s="23"/>
      <c r="E163" s="23"/>
      <c r="F163" s="23"/>
      <c r="G163" s="11"/>
      <c r="H163" t="s">
        <v>198</v>
      </c>
      <c r="I163" s="15" t="str">
        <f t="shared" si="16"/>
        <v>description</v>
      </c>
      <c r="J163" s="11" t="str">
        <f t="shared" si="17"/>
        <v>zcy_det_description</v>
      </c>
      <c r="K163" t="s">
        <v>198</v>
      </c>
      <c r="L163" s="17" t="s">
        <v>926</v>
      </c>
      <c r="M163" s="23"/>
      <c r="N163" s="23"/>
      <c r="O163" s="23"/>
      <c r="P163" s="11"/>
      <c r="Q163" t="s">
        <v>198</v>
      </c>
      <c r="R163" s="15" t="str">
        <f t="shared" si="13"/>
        <v>description</v>
      </c>
      <c r="S163" s="11" t="str">
        <f t="shared" si="14"/>
        <v>abap.char(40);</v>
      </c>
      <c r="V163" t="str">
        <f t="shared" si="15"/>
        <v xml:space="preserve">  description                    : zcy_det_description;</v>
      </c>
      <c r="W163" t="str">
        <f>IFERROR(INDEX('[1]Resolved Data Elem'!$E$4:$E$1070,MATCH(J163,'[1]Resolved Data Elem'!$D$4:$D$1070,0)),"--")</f>
        <v>--</v>
      </c>
    </row>
    <row r="164" spans="2:23" x14ac:dyDescent="0.25">
      <c r="B164" s="22" t="s">
        <v>598</v>
      </c>
      <c r="C164" s="23"/>
      <c r="D164" s="23"/>
      <c r="E164" s="23"/>
      <c r="F164" s="23"/>
      <c r="G164" s="11"/>
      <c r="H164" t="s">
        <v>198</v>
      </c>
      <c r="I164" s="15" t="str">
        <f t="shared" si="16"/>
        <v>barcode</v>
      </c>
      <c r="J164" s="11" t="str">
        <f t="shared" si="17"/>
        <v>zcy_det_barcode</v>
      </c>
      <c r="K164" t="s">
        <v>198</v>
      </c>
      <c r="L164" s="17" t="s">
        <v>927</v>
      </c>
      <c r="M164" s="23"/>
      <c r="N164" s="23"/>
      <c r="O164" s="23"/>
      <c r="P164" s="11"/>
      <c r="Q164" t="s">
        <v>198</v>
      </c>
      <c r="R164" s="15" t="str">
        <f t="shared" si="13"/>
        <v>barcode</v>
      </c>
      <c r="S164" s="11" t="str">
        <f t="shared" si="14"/>
        <v>abap.char(30);</v>
      </c>
      <c r="V164" t="str">
        <f t="shared" si="15"/>
        <v xml:space="preserve">  barcode                        : zcy_det_barcode;</v>
      </c>
      <c r="W164" t="str">
        <f>IFERROR(INDEX('[1]Resolved Data Elem'!$E$4:$E$1070,MATCH(J164,'[1]Resolved Data Elem'!$D$4:$D$1070,0)),"--")</f>
        <v>--</v>
      </c>
    </row>
    <row r="165" spans="2:23" x14ac:dyDescent="0.25">
      <c r="B165" s="22" t="s">
        <v>599</v>
      </c>
      <c r="C165" s="23"/>
      <c r="D165" s="23"/>
      <c r="E165" s="23"/>
      <c r="F165" s="23"/>
      <c r="G165" s="11"/>
      <c r="H165" t="s">
        <v>198</v>
      </c>
      <c r="I165" s="15" t="str">
        <f t="shared" si="16"/>
        <v>uqc</v>
      </c>
      <c r="J165" s="11" t="str">
        <f t="shared" si="17"/>
        <v>zcy_det_uqc</v>
      </c>
      <c r="K165" t="s">
        <v>198</v>
      </c>
      <c r="L165" s="17" t="s">
        <v>928</v>
      </c>
      <c r="M165" s="23"/>
      <c r="N165" s="23"/>
      <c r="O165" s="23"/>
      <c r="P165" s="11"/>
      <c r="Q165" t="s">
        <v>198</v>
      </c>
      <c r="R165" s="15" t="str">
        <f t="shared" si="13"/>
        <v>uqc</v>
      </c>
      <c r="S165" s="11" t="str">
        <f t="shared" si="14"/>
        <v>abap.char(8);</v>
      </c>
      <c r="V165" t="str">
        <f t="shared" si="15"/>
        <v xml:space="preserve">  uqc                            : zcy_det_uqc;</v>
      </c>
      <c r="W165" t="str">
        <f>IFERROR(INDEX('[1]Resolved Data Elem'!$E$4:$E$1070,MATCH(J165,'[1]Resolved Data Elem'!$D$4:$D$1070,0)),"--")</f>
        <v>--</v>
      </c>
    </row>
    <row r="166" spans="2:23" x14ac:dyDescent="0.25">
      <c r="B166" s="22" t="s">
        <v>204</v>
      </c>
      <c r="C166" s="23"/>
      <c r="D166" s="23"/>
      <c r="E166" s="23"/>
      <c r="F166" s="23"/>
      <c r="G166" s="11"/>
      <c r="H166" t="s">
        <v>198</v>
      </c>
      <c r="I166" s="15" t="str">
        <f t="shared" si="16"/>
        <v>@Semantics.quantity.unitOfMeasure</v>
      </c>
      <c r="J166" s="11" t="str">
        <f t="shared" si="17"/>
        <v>'vbap.zieme'</v>
      </c>
      <c r="K166" t="s">
        <v>198</v>
      </c>
      <c r="L166" s="10" t="s">
        <v>907</v>
      </c>
      <c r="M166" s="23"/>
      <c r="N166" s="23"/>
      <c r="O166" s="23"/>
      <c r="P166" s="11"/>
      <c r="Q166" t="s">
        <v>198</v>
      </c>
      <c r="R166" s="15" t="str">
        <f t="shared" si="13"/>
        <v>@Semantics.quantity.unitOfMeasure</v>
      </c>
      <c r="S166" s="11" t="str">
        <f t="shared" si="14"/>
        <v>'vbap.zieme'</v>
      </c>
      <c r="V166" t="str">
        <f t="shared" si="15"/>
        <v xml:space="preserve">  @Semantics.quantity.unitOfMeasure : 'vbap.zieme'</v>
      </c>
      <c r="W166" t="str">
        <f>IFERROR(INDEX('[1]Resolved Data Elem'!$E$4:$E$1070,MATCH(J166,'[1]Resolved Data Elem'!$D$4:$D$1070,0)),"--")</f>
        <v>--</v>
      </c>
    </row>
    <row r="167" spans="2:23" x14ac:dyDescent="0.25">
      <c r="B167" s="22" t="s">
        <v>600</v>
      </c>
      <c r="C167" s="23"/>
      <c r="D167" s="23"/>
      <c r="E167" s="23"/>
      <c r="F167" s="23"/>
      <c r="G167" s="11"/>
      <c r="H167" t="s">
        <v>198</v>
      </c>
      <c r="I167" s="15" t="str">
        <f t="shared" si="16"/>
        <v>quantity</v>
      </c>
      <c r="J167" s="11" t="str">
        <f t="shared" si="17"/>
        <v>zcy_det_quantity</v>
      </c>
      <c r="K167" t="s">
        <v>198</v>
      </c>
      <c r="L167" s="17" t="s">
        <v>929</v>
      </c>
      <c r="M167" s="23"/>
      <c r="N167" s="23"/>
      <c r="O167" s="23"/>
      <c r="P167" s="11"/>
      <c r="Q167" t="s">
        <v>198</v>
      </c>
      <c r="R167" s="15" t="str">
        <f t="shared" si="13"/>
        <v>quantity</v>
      </c>
      <c r="S167" s="11" t="str">
        <f t="shared" si="14"/>
        <v>abap.quan(13,3);</v>
      </c>
      <c r="V167" t="str">
        <f t="shared" si="15"/>
        <v xml:space="preserve">  quantity                       : zcy_det_quantity;</v>
      </c>
      <c r="W167" t="str">
        <f>IFERROR(INDEX('[1]Resolved Data Elem'!$E$4:$E$1070,MATCH(J167,'[1]Resolved Data Elem'!$D$4:$D$1070,0)),"--")</f>
        <v>--</v>
      </c>
    </row>
    <row r="168" spans="2:23" x14ac:dyDescent="0.25">
      <c r="B168" s="22" t="s">
        <v>601</v>
      </c>
      <c r="C168" s="23"/>
      <c r="D168" s="23"/>
      <c r="E168" s="23"/>
      <c r="F168" s="23"/>
      <c r="G168" s="11"/>
      <c r="H168" t="s">
        <v>198</v>
      </c>
      <c r="I168" s="15" t="str">
        <f t="shared" si="16"/>
        <v>freequantity</v>
      </c>
      <c r="J168" s="11" t="str">
        <f t="shared" si="17"/>
        <v>zcy_det_freequantity</v>
      </c>
      <c r="K168" t="s">
        <v>198</v>
      </c>
      <c r="L168" s="17" t="s">
        <v>930</v>
      </c>
      <c r="M168" s="23"/>
      <c r="N168" s="23"/>
      <c r="O168" s="23"/>
      <c r="P168" s="11"/>
      <c r="Q168" t="s">
        <v>198</v>
      </c>
      <c r="R168" s="15" t="str">
        <f t="shared" si="13"/>
        <v>freequantity</v>
      </c>
      <c r="S168" s="11" t="str">
        <f t="shared" si="14"/>
        <v>abap.char(13);</v>
      </c>
      <c r="V168" t="str">
        <f t="shared" si="15"/>
        <v xml:space="preserve">  freequantity                   : zcy_det_freequantity;</v>
      </c>
      <c r="W168" t="str">
        <f>IFERROR(INDEX('[1]Resolved Data Elem'!$E$4:$E$1070,MATCH(J168,'[1]Resolved Data Elem'!$D$4:$D$1070,0)),"--")</f>
        <v>--</v>
      </c>
    </row>
    <row r="169" spans="2:23" x14ac:dyDescent="0.25">
      <c r="B169" s="22" t="s">
        <v>205</v>
      </c>
      <c r="C169" s="23"/>
      <c r="D169" s="23"/>
      <c r="E169" s="23"/>
      <c r="F169" s="23"/>
      <c r="G169" s="11"/>
      <c r="H169" t="s">
        <v>198</v>
      </c>
      <c r="I169" s="15" t="str">
        <f t="shared" si="16"/>
        <v>@Semantics.amount.currencyCode</v>
      </c>
      <c r="J169" s="11" t="str">
        <f t="shared" si="17"/>
        <v>'rv61a.koei1'</v>
      </c>
      <c r="K169" t="s">
        <v>198</v>
      </c>
      <c r="L169" s="10" t="s">
        <v>931</v>
      </c>
      <c r="M169" s="23"/>
      <c r="N169" s="23"/>
      <c r="O169" s="23"/>
      <c r="P169" s="11"/>
      <c r="Q169" t="s">
        <v>198</v>
      </c>
      <c r="R169" s="15" t="str">
        <f t="shared" si="13"/>
        <v>@Semantics.amount.currencyCode</v>
      </c>
      <c r="S169" s="11" t="str">
        <f t="shared" si="14"/>
        <v>'rv61a.koei1'</v>
      </c>
      <c r="V169" t="str">
        <f t="shared" si="15"/>
        <v xml:space="preserve">  @Semantics.amount.currencyCode : 'rv61a.koei1'</v>
      </c>
      <c r="W169" t="str">
        <f>IFERROR(INDEX('[1]Resolved Data Elem'!$E$4:$E$1070,MATCH(J169,'[1]Resolved Data Elem'!$D$4:$D$1070,0)),"--")</f>
        <v>--</v>
      </c>
    </row>
    <row r="170" spans="2:23" x14ac:dyDescent="0.25">
      <c r="B170" s="22" t="s">
        <v>602</v>
      </c>
      <c r="C170" s="23"/>
      <c r="D170" s="23"/>
      <c r="E170" s="23"/>
      <c r="F170" s="23"/>
      <c r="G170" s="11"/>
      <c r="H170" t="s">
        <v>198</v>
      </c>
      <c r="I170" s="15" t="str">
        <f t="shared" si="16"/>
        <v>rate</v>
      </c>
      <c r="J170" s="11" t="str">
        <f t="shared" si="17"/>
        <v>zcy_det_rate</v>
      </c>
      <c r="K170" t="s">
        <v>198</v>
      </c>
      <c r="L170" s="17" t="s">
        <v>932</v>
      </c>
      <c r="M170" s="23"/>
      <c r="N170" s="23"/>
      <c r="O170" s="23"/>
      <c r="P170" s="11"/>
      <c r="Q170" t="s">
        <v>198</v>
      </c>
      <c r="R170" s="15" t="str">
        <f t="shared" si="13"/>
        <v>rate</v>
      </c>
      <c r="S170" s="11" t="str">
        <f t="shared" si="14"/>
        <v>abap.curr(11,2);</v>
      </c>
      <c r="V170" t="str">
        <f t="shared" si="15"/>
        <v xml:space="preserve">  rate                           : zcy_det_rate;</v>
      </c>
      <c r="W170" t="str">
        <f>IFERROR(INDEX('[1]Resolved Data Elem'!$E$4:$E$1070,MATCH(J170,'[1]Resolved Data Elem'!$D$4:$D$1070,0)),"--")</f>
        <v>--</v>
      </c>
    </row>
    <row r="171" spans="2:23" x14ac:dyDescent="0.25">
      <c r="B171" s="22" t="s">
        <v>205</v>
      </c>
      <c r="C171" s="23"/>
      <c r="D171" s="23"/>
      <c r="E171" s="23"/>
      <c r="F171" s="23"/>
      <c r="G171" s="11"/>
      <c r="H171" t="s">
        <v>198</v>
      </c>
      <c r="I171" s="15" t="str">
        <f t="shared" si="16"/>
        <v>@Semantics.amount.currencyCode</v>
      </c>
      <c r="J171" s="11" t="str">
        <f t="shared" si="17"/>
        <v>'rv61a.koei1'</v>
      </c>
      <c r="K171" t="s">
        <v>198</v>
      </c>
      <c r="L171" s="10" t="s">
        <v>931</v>
      </c>
      <c r="M171" s="23"/>
      <c r="N171" s="23"/>
      <c r="O171" s="23"/>
      <c r="P171" s="11"/>
      <c r="Q171" t="s">
        <v>198</v>
      </c>
      <c r="R171" s="15" t="str">
        <f t="shared" si="13"/>
        <v>@Semantics.amount.currencyCode</v>
      </c>
      <c r="S171" s="11" t="str">
        <f t="shared" si="14"/>
        <v>'rv61a.koei1'</v>
      </c>
      <c r="V171" t="str">
        <f t="shared" si="15"/>
        <v xml:space="preserve">  @Semantics.amount.currencyCode : 'rv61a.koei1'</v>
      </c>
      <c r="W171" t="str">
        <f>IFERROR(INDEX('[1]Resolved Data Elem'!$E$4:$E$1070,MATCH(J171,'[1]Resolved Data Elem'!$D$4:$D$1070,0)),"--")</f>
        <v>--</v>
      </c>
    </row>
    <row r="172" spans="2:23" x14ac:dyDescent="0.25">
      <c r="B172" s="22" t="s">
        <v>603</v>
      </c>
      <c r="C172" s="23"/>
      <c r="D172" s="23"/>
      <c r="E172" s="23"/>
      <c r="F172" s="23"/>
      <c r="G172" s="11"/>
      <c r="H172" t="s">
        <v>198</v>
      </c>
      <c r="I172" s="15" t="str">
        <f t="shared" si="16"/>
        <v>cessrate</v>
      </c>
      <c r="J172" s="11" t="str">
        <f t="shared" si="17"/>
        <v>zcy_det_cessrate</v>
      </c>
      <c r="K172" t="s">
        <v>198</v>
      </c>
      <c r="L172" s="17" t="s">
        <v>933</v>
      </c>
      <c r="M172" s="23"/>
      <c r="N172" s="23"/>
      <c r="O172" s="23"/>
      <c r="P172" s="11"/>
      <c r="Q172" t="s">
        <v>198</v>
      </c>
      <c r="R172" s="15" t="str">
        <f t="shared" si="13"/>
        <v>cessrate</v>
      </c>
      <c r="S172" s="11" t="str">
        <f t="shared" si="14"/>
        <v>abap.curr(11,2);</v>
      </c>
      <c r="V172" t="str">
        <f t="shared" si="15"/>
        <v xml:space="preserve">  cessrate                       : zcy_det_cessrate;</v>
      </c>
      <c r="W172" t="str">
        <f>IFERROR(INDEX('[1]Resolved Data Elem'!$E$4:$E$1070,MATCH(J172,'[1]Resolved Data Elem'!$D$4:$D$1070,0)),"--")</f>
        <v>--</v>
      </c>
    </row>
    <row r="173" spans="2:23" x14ac:dyDescent="0.25">
      <c r="B173" s="22" t="s">
        <v>604</v>
      </c>
      <c r="C173" s="23"/>
      <c r="D173" s="23"/>
      <c r="E173" s="23"/>
      <c r="F173" s="23"/>
      <c r="G173" s="11"/>
      <c r="H173" t="s">
        <v>198</v>
      </c>
      <c r="I173" s="15" t="str">
        <f t="shared" si="16"/>
        <v>statecessrate</v>
      </c>
      <c r="J173" s="11" t="str">
        <f t="shared" si="17"/>
        <v>zcy_det_statecessrate</v>
      </c>
      <c r="K173" t="s">
        <v>198</v>
      </c>
      <c r="L173" s="17" t="s">
        <v>934</v>
      </c>
      <c r="M173" s="23"/>
      <c r="N173" s="23"/>
      <c r="O173" s="23"/>
      <c r="P173" s="11"/>
      <c r="Q173" t="s">
        <v>198</v>
      </c>
      <c r="R173" s="15" t="str">
        <f t="shared" si="13"/>
        <v>statecessrate</v>
      </c>
      <c r="S173" s="11" t="str">
        <f t="shared" si="14"/>
        <v>abap.char(6);</v>
      </c>
      <c r="V173" t="str">
        <f t="shared" si="15"/>
        <v xml:space="preserve">  statecessrate                  : zcy_det_statecessrate;</v>
      </c>
      <c r="W173" t="str">
        <f>IFERROR(INDEX('[1]Resolved Data Elem'!$E$4:$E$1070,MATCH(J173,'[1]Resolved Data Elem'!$D$4:$D$1070,0)),"--")</f>
        <v>--</v>
      </c>
    </row>
    <row r="174" spans="2:23" x14ac:dyDescent="0.25">
      <c r="B174" s="22" t="s">
        <v>205</v>
      </c>
      <c r="C174" s="23"/>
      <c r="D174" s="23"/>
      <c r="E174" s="23"/>
      <c r="F174" s="23"/>
      <c r="G174" s="11"/>
      <c r="H174" t="s">
        <v>198</v>
      </c>
      <c r="I174" s="15" t="str">
        <f t="shared" si="16"/>
        <v>@Semantics.amount.currencyCode</v>
      </c>
      <c r="J174" s="11" t="str">
        <f t="shared" si="17"/>
        <v>'rv61a.koei1'</v>
      </c>
      <c r="K174" t="s">
        <v>198</v>
      </c>
      <c r="L174" s="10" t="s">
        <v>931</v>
      </c>
      <c r="M174" s="23"/>
      <c r="N174" s="23"/>
      <c r="O174" s="23"/>
      <c r="P174" s="11"/>
      <c r="Q174" t="s">
        <v>198</v>
      </c>
      <c r="R174" s="15" t="str">
        <f t="shared" si="13"/>
        <v>@Semantics.amount.currencyCode</v>
      </c>
      <c r="S174" s="11" t="str">
        <f t="shared" si="14"/>
        <v>'rv61a.koei1'</v>
      </c>
      <c r="V174" t="str">
        <f t="shared" si="15"/>
        <v xml:space="preserve">  @Semantics.amount.currencyCode : 'rv61a.koei1'</v>
      </c>
      <c r="W174" t="str">
        <f>IFERROR(INDEX('[1]Resolved Data Elem'!$E$4:$E$1070,MATCH(J174,'[1]Resolved Data Elem'!$D$4:$D$1070,0)),"--")</f>
        <v>--</v>
      </c>
    </row>
    <row r="175" spans="2:23" x14ac:dyDescent="0.25">
      <c r="B175" s="22" t="s">
        <v>605</v>
      </c>
      <c r="C175" s="23"/>
      <c r="D175" s="23"/>
      <c r="E175" s="23"/>
      <c r="F175" s="23"/>
      <c r="G175" s="11"/>
      <c r="H175" t="s">
        <v>198</v>
      </c>
      <c r="I175" s="15" t="str">
        <f t="shared" si="16"/>
        <v>cessnonadvaloremrate</v>
      </c>
      <c r="J175" s="11" t="str">
        <f t="shared" si="17"/>
        <v>zcy_det_cessnonadvaloremrate</v>
      </c>
      <c r="K175" t="s">
        <v>198</v>
      </c>
      <c r="L175" s="17" t="s">
        <v>935</v>
      </c>
      <c r="M175" s="23"/>
      <c r="N175" s="23"/>
      <c r="O175" s="23"/>
      <c r="P175" s="11"/>
      <c r="Q175" t="s">
        <v>198</v>
      </c>
      <c r="R175" s="15" t="str">
        <f t="shared" si="13"/>
        <v>cessnonadvaloremrate</v>
      </c>
      <c r="S175" s="11" t="str">
        <f t="shared" si="14"/>
        <v>abap.curr(11,2);</v>
      </c>
      <c r="V175" t="str">
        <f t="shared" si="15"/>
        <v xml:space="preserve">  cessnonadvaloremrate           : zcy_det_cessnonadvaloremrate;</v>
      </c>
      <c r="W175" t="str">
        <f>IFERROR(INDEX('[1]Resolved Data Elem'!$E$4:$E$1070,MATCH(J175,'[1]Resolved Data Elem'!$D$4:$D$1070,0)),"--")</f>
        <v>--</v>
      </c>
    </row>
    <row r="176" spans="2:23" x14ac:dyDescent="0.25">
      <c r="B176" s="22" t="s">
        <v>606</v>
      </c>
      <c r="C176" s="23"/>
      <c r="D176" s="23"/>
      <c r="E176" s="23"/>
      <c r="F176" s="23"/>
      <c r="G176" s="11"/>
      <c r="H176" t="s">
        <v>198</v>
      </c>
      <c r="I176" s="15" t="str">
        <f t="shared" si="16"/>
        <v>priceperquantity</v>
      </c>
      <c r="J176" s="11" t="str">
        <f t="shared" si="17"/>
        <v>zcy_det_priceperquantity</v>
      </c>
      <c r="K176" t="s">
        <v>198</v>
      </c>
      <c r="L176" s="17" t="s">
        <v>936</v>
      </c>
      <c r="M176" s="23"/>
      <c r="N176" s="23"/>
      <c r="O176" s="23"/>
      <c r="P176" s="11"/>
      <c r="Q176" t="s">
        <v>198</v>
      </c>
      <c r="R176" s="15" t="str">
        <f t="shared" si="13"/>
        <v>priceperquantity</v>
      </c>
      <c r="S176" s="11" t="str">
        <f t="shared" si="14"/>
        <v>abap.char(15);</v>
      </c>
      <c r="V176" t="str">
        <f t="shared" si="15"/>
        <v xml:space="preserve">  priceperquantity               : zcy_det_priceperquantity;</v>
      </c>
      <c r="W176" t="str">
        <f>IFERROR(INDEX('[1]Resolved Data Elem'!$E$4:$E$1070,MATCH(J176,'[1]Resolved Data Elem'!$D$4:$D$1070,0)),"--")</f>
        <v>--</v>
      </c>
    </row>
    <row r="177" spans="2:23" x14ac:dyDescent="0.25">
      <c r="B177" s="22" t="s">
        <v>119</v>
      </c>
      <c r="C177" s="23"/>
      <c r="D177" s="23"/>
      <c r="E177" s="23"/>
      <c r="F177" s="23"/>
      <c r="G177" s="11"/>
      <c r="H177" t="s">
        <v>198</v>
      </c>
      <c r="I177" s="15" t="str">
        <f t="shared" si="16"/>
        <v>@Semantics.amount.currencyCode</v>
      </c>
      <c r="J177" s="11" t="str">
        <f t="shared" si="17"/>
        <v>'komk.waerk'</v>
      </c>
      <c r="K177" t="s">
        <v>198</v>
      </c>
      <c r="L177" s="10" t="s">
        <v>937</v>
      </c>
      <c r="M177" s="23"/>
      <c r="N177" s="23"/>
      <c r="O177" s="23"/>
      <c r="P177" s="11"/>
      <c r="Q177" t="s">
        <v>198</v>
      </c>
      <c r="R177" s="15" t="str">
        <f t="shared" si="13"/>
        <v>@Semantics.amount.currencyCode</v>
      </c>
      <c r="S177" s="11" t="str">
        <f t="shared" si="14"/>
        <v>'komk.waerk'</v>
      </c>
      <c r="V177" t="str">
        <f t="shared" si="15"/>
        <v xml:space="preserve">  @Semantics.amount.currencyCode : 'komk.waerk'</v>
      </c>
      <c r="W177" t="str">
        <f>IFERROR(INDEX('[1]Resolved Data Elem'!$E$4:$E$1070,MATCH(J177,'[1]Resolved Data Elem'!$D$4:$D$1070,0)),"--")</f>
        <v>--</v>
      </c>
    </row>
    <row r="178" spans="2:23" x14ac:dyDescent="0.25">
      <c r="B178" s="22" t="s">
        <v>607</v>
      </c>
      <c r="C178" s="23"/>
      <c r="D178" s="23"/>
      <c r="E178" s="23"/>
      <c r="F178" s="23"/>
      <c r="G178" s="11"/>
      <c r="H178" t="s">
        <v>198</v>
      </c>
      <c r="I178" s="15" t="str">
        <f t="shared" si="16"/>
        <v>discountamount</v>
      </c>
      <c r="J178" s="11" t="str">
        <f t="shared" si="17"/>
        <v>zcy_det_discountamount</v>
      </c>
      <c r="K178" t="s">
        <v>198</v>
      </c>
      <c r="L178" s="17" t="s">
        <v>938</v>
      </c>
      <c r="M178" s="23"/>
      <c r="N178" s="23"/>
      <c r="O178" s="23"/>
      <c r="P178" s="11"/>
      <c r="Q178" t="s">
        <v>198</v>
      </c>
      <c r="R178" s="15" t="str">
        <f t="shared" si="13"/>
        <v>discountamount</v>
      </c>
      <c r="S178" s="11" t="str">
        <f t="shared" si="14"/>
        <v>abap.curr(11,2);</v>
      </c>
      <c r="V178" t="str">
        <f t="shared" si="15"/>
        <v xml:space="preserve">  discountamount                 : zcy_det_discountamount;</v>
      </c>
      <c r="W178" t="str">
        <f>IFERROR(INDEX('[1]Resolved Data Elem'!$E$4:$E$1070,MATCH(J178,'[1]Resolved Data Elem'!$D$4:$D$1070,0)),"--")</f>
        <v>--</v>
      </c>
    </row>
    <row r="179" spans="2:23" x14ac:dyDescent="0.25">
      <c r="B179" s="22" t="s">
        <v>119</v>
      </c>
      <c r="C179" s="23"/>
      <c r="D179" s="23"/>
      <c r="E179" s="23"/>
      <c r="F179" s="23"/>
      <c r="G179" s="11"/>
      <c r="H179" t="s">
        <v>198</v>
      </c>
      <c r="I179" s="15" t="str">
        <f t="shared" si="16"/>
        <v>@Semantics.amount.currencyCode</v>
      </c>
      <c r="J179" s="11" t="str">
        <f t="shared" si="17"/>
        <v>'komk.waerk'</v>
      </c>
      <c r="K179" t="s">
        <v>198</v>
      </c>
      <c r="L179" s="10" t="s">
        <v>937</v>
      </c>
      <c r="M179" s="23"/>
      <c r="N179" s="23"/>
      <c r="O179" s="23"/>
      <c r="P179" s="11"/>
      <c r="Q179" t="s">
        <v>198</v>
      </c>
      <c r="R179" s="15" t="str">
        <f t="shared" si="13"/>
        <v>@Semantics.amount.currencyCode</v>
      </c>
      <c r="S179" s="11" t="str">
        <f t="shared" si="14"/>
        <v>'komk.waerk'</v>
      </c>
      <c r="V179" t="str">
        <f t="shared" si="15"/>
        <v xml:space="preserve">  @Semantics.amount.currencyCode : 'komk.waerk'</v>
      </c>
      <c r="W179" t="str">
        <f>IFERROR(INDEX('[1]Resolved Data Elem'!$E$4:$E$1070,MATCH(J179,'[1]Resolved Data Elem'!$D$4:$D$1070,0)),"--")</f>
        <v>--</v>
      </c>
    </row>
    <row r="180" spans="2:23" x14ac:dyDescent="0.25">
      <c r="B180" s="22" t="s">
        <v>608</v>
      </c>
      <c r="C180" s="23"/>
      <c r="D180" s="23"/>
      <c r="E180" s="23"/>
      <c r="F180" s="23"/>
      <c r="G180" s="11"/>
      <c r="H180" t="s">
        <v>198</v>
      </c>
      <c r="I180" s="15" t="str">
        <f t="shared" si="16"/>
        <v>grossamount</v>
      </c>
      <c r="J180" s="11" t="str">
        <f t="shared" si="17"/>
        <v>zcy_det_grossamount</v>
      </c>
      <c r="K180" t="s">
        <v>198</v>
      </c>
      <c r="L180" s="17" t="s">
        <v>939</v>
      </c>
      <c r="M180" s="23"/>
      <c r="N180" s="23"/>
      <c r="O180" s="23"/>
      <c r="P180" s="11"/>
      <c r="Q180" t="s">
        <v>198</v>
      </c>
      <c r="R180" s="15" t="str">
        <f t="shared" si="13"/>
        <v>grossamount</v>
      </c>
      <c r="S180" s="11" t="str">
        <f t="shared" si="14"/>
        <v>abap.curr(11,2);</v>
      </c>
      <c r="V180" t="str">
        <f t="shared" si="15"/>
        <v xml:space="preserve">  grossamount                    : zcy_det_grossamount;</v>
      </c>
      <c r="W180" t="str">
        <f>IFERROR(INDEX('[1]Resolved Data Elem'!$E$4:$E$1070,MATCH(J180,'[1]Resolved Data Elem'!$D$4:$D$1070,0)),"--")</f>
        <v>--</v>
      </c>
    </row>
    <row r="181" spans="2:23" x14ac:dyDescent="0.25">
      <c r="B181" s="22" t="s">
        <v>609</v>
      </c>
      <c r="C181" s="23"/>
      <c r="D181" s="23"/>
      <c r="E181" s="23"/>
      <c r="F181" s="23"/>
      <c r="G181" s="11"/>
      <c r="H181" t="s">
        <v>198</v>
      </c>
      <c r="I181" s="15" t="str">
        <f t="shared" si="16"/>
        <v>othercharges</v>
      </c>
      <c r="J181" s="11" t="str">
        <f t="shared" si="17"/>
        <v>zcy_det_othercharges</v>
      </c>
      <c r="K181" t="s">
        <v>198</v>
      </c>
      <c r="L181" s="17" t="s">
        <v>940</v>
      </c>
      <c r="M181" s="23"/>
      <c r="N181" s="23"/>
      <c r="O181" s="23"/>
      <c r="P181" s="11"/>
      <c r="Q181" t="s">
        <v>198</v>
      </c>
      <c r="R181" s="15" t="str">
        <f t="shared" si="13"/>
        <v>othercharges</v>
      </c>
      <c r="S181" s="11" t="str">
        <f t="shared" si="14"/>
        <v>abap.char(14);</v>
      </c>
      <c r="V181" t="str">
        <f t="shared" si="15"/>
        <v xml:space="preserve">  othercharges                   : zcy_det_othercharges;</v>
      </c>
      <c r="W181" t="str">
        <f>IFERROR(INDEX('[1]Resolved Data Elem'!$E$4:$E$1070,MATCH(J181,'[1]Resolved Data Elem'!$D$4:$D$1070,0)),"--")</f>
        <v>--</v>
      </c>
    </row>
    <row r="182" spans="2:23" x14ac:dyDescent="0.25">
      <c r="B182" s="22" t="s">
        <v>113</v>
      </c>
      <c r="C182" s="23"/>
      <c r="D182" s="23"/>
      <c r="E182" s="23"/>
      <c r="F182" s="23"/>
      <c r="G182" s="11"/>
      <c r="H182" t="s">
        <v>198</v>
      </c>
      <c r="I182" s="15" t="str">
        <f t="shared" si="16"/>
        <v>@Semantics.amount.currencyCode</v>
      </c>
      <c r="J182" s="11" t="str">
        <f t="shared" si="17"/>
        <v>'vbak.waerk'</v>
      </c>
      <c r="K182" t="s">
        <v>198</v>
      </c>
      <c r="L182" s="10" t="s">
        <v>857</v>
      </c>
      <c r="M182" s="23"/>
      <c r="N182" s="23"/>
      <c r="O182" s="23"/>
      <c r="P182" s="11"/>
      <c r="Q182" t="s">
        <v>198</v>
      </c>
      <c r="R182" s="15" t="str">
        <f t="shared" si="13"/>
        <v>@Semantics.amount.currencyCode</v>
      </c>
      <c r="S182" s="11" t="str">
        <f t="shared" si="14"/>
        <v>'vbak.waerk'</v>
      </c>
      <c r="V182" t="str">
        <f t="shared" si="15"/>
        <v xml:space="preserve">  @Semantics.amount.currencyCode : 'vbak.waerk'</v>
      </c>
      <c r="W182" t="str">
        <f>IFERROR(INDEX('[1]Resolved Data Elem'!$E$4:$E$1070,MATCH(J182,'[1]Resolved Data Elem'!$D$4:$D$1070,0)),"--")</f>
        <v>--</v>
      </c>
    </row>
    <row r="183" spans="2:23" x14ac:dyDescent="0.25">
      <c r="B183" s="22" t="s">
        <v>610</v>
      </c>
      <c r="C183" s="23"/>
      <c r="D183" s="23"/>
      <c r="E183" s="23"/>
      <c r="F183" s="23"/>
      <c r="G183" s="11"/>
      <c r="H183" t="s">
        <v>198</v>
      </c>
      <c r="I183" s="15" t="str">
        <f t="shared" si="16"/>
        <v>taxablevalue</v>
      </c>
      <c r="J183" s="11" t="str">
        <f t="shared" si="17"/>
        <v>zcy_det_taxablevalue</v>
      </c>
      <c r="K183" t="s">
        <v>198</v>
      </c>
      <c r="L183" s="17" t="s">
        <v>941</v>
      </c>
      <c r="M183" s="23"/>
      <c r="N183" s="23"/>
      <c r="O183" s="23"/>
      <c r="P183" s="11"/>
      <c r="Q183" t="s">
        <v>198</v>
      </c>
      <c r="R183" s="15" t="str">
        <f t="shared" si="13"/>
        <v>taxablevalue</v>
      </c>
      <c r="S183" s="11" t="str">
        <f t="shared" si="14"/>
        <v>abap.curr(13,2);</v>
      </c>
      <c r="V183" t="str">
        <f t="shared" si="15"/>
        <v xml:space="preserve">  taxablevalue                   : zcy_det_taxablevalue;</v>
      </c>
      <c r="W183" t="str">
        <f>IFERROR(INDEX('[1]Resolved Data Elem'!$E$4:$E$1070,MATCH(J183,'[1]Resolved Data Elem'!$D$4:$D$1070,0)),"--")</f>
        <v>--</v>
      </c>
    </row>
    <row r="184" spans="2:23" x14ac:dyDescent="0.25">
      <c r="B184" s="22" t="s">
        <v>119</v>
      </c>
      <c r="C184" s="23"/>
      <c r="D184" s="23"/>
      <c r="E184" s="23"/>
      <c r="F184" s="23"/>
      <c r="G184" s="11"/>
      <c r="H184" t="s">
        <v>198</v>
      </c>
      <c r="I184" s="15" t="str">
        <f t="shared" si="16"/>
        <v>@Semantics.amount.currencyCode</v>
      </c>
      <c r="J184" s="11" t="str">
        <f t="shared" si="17"/>
        <v>'komk.waerk'</v>
      </c>
      <c r="K184" t="s">
        <v>198</v>
      </c>
      <c r="L184" s="10" t="s">
        <v>937</v>
      </c>
      <c r="M184" s="23"/>
      <c r="N184" s="23"/>
      <c r="O184" s="23"/>
      <c r="P184" s="11"/>
      <c r="Q184" t="s">
        <v>198</v>
      </c>
      <c r="R184" s="15" t="str">
        <f t="shared" si="13"/>
        <v>@Semantics.amount.currencyCode</v>
      </c>
      <c r="S184" s="11" t="str">
        <f t="shared" si="14"/>
        <v>'komk.waerk'</v>
      </c>
      <c r="V184" t="str">
        <f t="shared" si="15"/>
        <v xml:space="preserve">  @Semantics.amount.currencyCode : 'komk.waerk'</v>
      </c>
      <c r="W184" t="str">
        <f>IFERROR(INDEX('[1]Resolved Data Elem'!$E$4:$E$1070,MATCH(J184,'[1]Resolved Data Elem'!$D$4:$D$1070,0)),"--")</f>
        <v>--</v>
      </c>
    </row>
    <row r="185" spans="2:23" x14ac:dyDescent="0.25">
      <c r="B185" s="22" t="s">
        <v>611</v>
      </c>
      <c r="C185" s="23"/>
      <c r="D185" s="23"/>
      <c r="E185" s="23"/>
      <c r="F185" s="23"/>
      <c r="G185" s="11"/>
      <c r="H185" t="s">
        <v>198</v>
      </c>
      <c r="I185" s="15" t="str">
        <f t="shared" si="16"/>
        <v>igstamount</v>
      </c>
      <c r="J185" s="11" t="str">
        <f t="shared" si="17"/>
        <v>zcy_det_igstamount</v>
      </c>
      <c r="K185" t="s">
        <v>198</v>
      </c>
      <c r="L185" s="17" t="s">
        <v>942</v>
      </c>
      <c r="M185" s="23"/>
      <c r="N185" s="23"/>
      <c r="O185" s="23"/>
      <c r="P185" s="11"/>
      <c r="Q185" t="s">
        <v>198</v>
      </c>
      <c r="R185" s="15" t="str">
        <f t="shared" si="13"/>
        <v>igstamount</v>
      </c>
      <c r="S185" s="11" t="str">
        <f t="shared" si="14"/>
        <v>abap.curr(13,2);</v>
      </c>
      <c r="V185" t="str">
        <f t="shared" si="15"/>
        <v xml:space="preserve">  igstamount                     : zcy_det_igstamount;</v>
      </c>
      <c r="W185" t="str">
        <f>IFERROR(INDEX('[1]Resolved Data Elem'!$E$4:$E$1070,MATCH(J185,'[1]Resolved Data Elem'!$D$4:$D$1070,0)),"--")</f>
        <v>--</v>
      </c>
    </row>
    <row r="186" spans="2:23" x14ac:dyDescent="0.25">
      <c r="B186" s="22" t="s">
        <v>119</v>
      </c>
      <c r="C186" s="23"/>
      <c r="D186" s="23"/>
      <c r="E186" s="23"/>
      <c r="F186" s="23"/>
      <c r="G186" s="11"/>
      <c r="H186" t="s">
        <v>198</v>
      </c>
      <c r="I186" s="15" t="str">
        <f t="shared" si="16"/>
        <v>@Semantics.amount.currencyCode</v>
      </c>
      <c r="J186" s="11" t="str">
        <f t="shared" si="17"/>
        <v>'komk.waerk'</v>
      </c>
      <c r="K186" t="s">
        <v>198</v>
      </c>
      <c r="L186" s="10" t="s">
        <v>937</v>
      </c>
      <c r="M186" s="23"/>
      <c r="N186" s="23"/>
      <c r="O186" s="23"/>
      <c r="P186" s="11"/>
      <c r="Q186" t="s">
        <v>198</v>
      </c>
      <c r="R186" s="15" t="str">
        <f t="shared" si="13"/>
        <v>@Semantics.amount.currencyCode</v>
      </c>
      <c r="S186" s="11" t="str">
        <f t="shared" si="14"/>
        <v>'komk.waerk'</v>
      </c>
      <c r="V186" t="str">
        <f t="shared" si="15"/>
        <v xml:space="preserve">  @Semantics.amount.currencyCode : 'komk.waerk'</v>
      </c>
      <c r="W186" t="str">
        <f>IFERROR(INDEX('[1]Resolved Data Elem'!$E$4:$E$1070,MATCH(J186,'[1]Resolved Data Elem'!$D$4:$D$1070,0)),"--")</f>
        <v>--</v>
      </c>
    </row>
    <row r="187" spans="2:23" x14ac:dyDescent="0.25">
      <c r="B187" s="22" t="s">
        <v>612</v>
      </c>
      <c r="C187" s="23"/>
      <c r="D187" s="23"/>
      <c r="E187" s="23"/>
      <c r="F187" s="23"/>
      <c r="G187" s="11"/>
      <c r="H187" t="s">
        <v>198</v>
      </c>
      <c r="I187" s="15" t="str">
        <f t="shared" si="16"/>
        <v>cgstamount</v>
      </c>
      <c r="J187" s="11" t="str">
        <f t="shared" si="17"/>
        <v>zcy_det_cgstamount</v>
      </c>
      <c r="K187" t="s">
        <v>198</v>
      </c>
      <c r="L187" s="17" t="s">
        <v>943</v>
      </c>
      <c r="M187" s="23"/>
      <c r="N187" s="23"/>
      <c r="O187" s="23"/>
      <c r="P187" s="11"/>
      <c r="Q187" t="s">
        <v>198</v>
      </c>
      <c r="R187" s="15" t="str">
        <f t="shared" si="13"/>
        <v>cgstamount</v>
      </c>
      <c r="S187" s="11" t="str">
        <f t="shared" si="14"/>
        <v>abap.curr(13,2);</v>
      </c>
      <c r="V187" t="str">
        <f t="shared" si="15"/>
        <v xml:space="preserve">  cgstamount                     : zcy_det_cgstamount;</v>
      </c>
      <c r="W187" t="str">
        <f>IFERROR(INDEX('[1]Resolved Data Elem'!$E$4:$E$1070,MATCH(J187,'[1]Resolved Data Elem'!$D$4:$D$1070,0)),"--")</f>
        <v>--</v>
      </c>
    </row>
    <row r="188" spans="2:23" x14ac:dyDescent="0.25">
      <c r="B188" s="22" t="s">
        <v>119</v>
      </c>
      <c r="C188" s="23"/>
      <c r="D188" s="23"/>
      <c r="E188" s="23"/>
      <c r="F188" s="23"/>
      <c r="G188" s="11"/>
      <c r="H188" t="s">
        <v>198</v>
      </c>
      <c r="I188" s="15" t="str">
        <f t="shared" si="16"/>
        <v>@Semantics.amount.currencyCode</v>
      </c>
      <c r="J188" s="11" t="str">
        <f t="shared" si="17"/>
        <v>'komk.waerk'</v>
      </c>
      <c r="K188" t="s">
        <v>198</v>
      </c>
      <c r="L188" s="10" t="s">
        <v>937</v>
      </c>
      <c r="M188" s="23"/>
      <c r="N188" s="23"/>
      <c r="O188" s="23"/>
      <c r="P188" s="11"/>
      <c r="Q188" t="s">
        <v>198</v>
      </c>
      <c r="R188" s="15" t="str">
        <f t="shared" si="13"/>
        <v>@Semantics.amount.currencyCode</v>
      </c>
      <c r="S188" s="11" t="str">
        <f t="shared" si="14"/>
        <v>'komk.waerk'</v>
      </c>
      <c r="V188" t="str">
        <f t="shared" si="15"/>
        <v xml:space="preserve">  @Semantics.amount.currencyCode : 'komk.waerk'</v>
      </c>
      <c r="W188" t="str">
        <f>IFERROR(INDEX('[1]Resolved Data Elem'!$E$4:$E$1070,MATCH(J188,'[1]Resolved Data Elem'!$D$4:$D$1070,0)),"--")</f>
        <v>--</v>
      </c>
    </row>
    <row r="189" spans="2:23" x14ac:dyDescent="0.25">
      <c r="B189" s="22" t="s">
        <v>613</v>
      </c>
      <c r="C189" s="23"/>
      <c r="D189" s="23"/>
      <c r="E189" s="23"/>
      <c r="F189" s="23"/>
      <c r="G189" s="11"/>
      <c r="H189" t="s">
        <v>198</v>
      </c>
      <c r="I189" s="15" t="str">
        <f t="shared" si="16"/>
        <v>sgstamount</v>
      </c>
      <c r="J189" s="11" t="str">
        <f t="shared" si="17"/>
        <v>zcy_det_sgstamount</v>
      </c>
      <c r="K189" t="s">
        <v>198</v>
      </c>
      <c r="L189" s="17" t="s">
        <v>944</v>
      </c>
      <c r="M189" s="23"/>
      <c r="N189" s="23"/>
      <c r="O189" s="23"/>
      <c r="P189" s="11"/>
      <c r="Q189" t="s">
        <v>198</v>
      </c>
      <c r="R189" s="15" t="str">
        <f t="shared" si="13"/>
        <v>sgstamount</v>
      </c>
      <c r="S189" s="11" t="str">
        <f t="shared" si="14"/>
        <v>abap.curr(13,2);</v>
      </c>
      <c r="V189" t="str">
        <f t="shared" si="15"/>
        <v xml:space="preserve">  sgstamount                     : zcy_det_sgstamount;</v>
      </c>
      <c r="W189" t="str">
        <f>IFERROR(INDEX('[1]Resolved Data Elem'!$E$4:$E$1070,MATCH(J189,'[1]Resolved Data Elem'!$D$4:$D$1070,0)),"--")</f>
        <v>--</v>
      </c>
    </row>
    <row r="190" spans="2:23" x14ac:dyDescent="0.25">
      <c r="B190" s="22" t="s">
        <v>119</v>
      </c>
      <c r="C190" s="23"/>
      <c r="D190" s="23"/>
      <c r="E190" s="23"/>
      <c r="F190" s="23"/>
      <c r="G190" s="11"/>
      <c r="H190" t="s">
        <v>198</v>
      </c>
      <c r="I190" s="15" t="str">
        <f t="shared" si="16"/>
        <v>@Semantics.amount.currencyCode</v>
      </c>
      <c r="J190" s="11" t="str">
        <f t="shared" si="17"/>
        <v>'komk.waerk'</v>
      </c>
      <c r="K190" t="s">
        <v>198</v>
      </c>
      <c r="L190" s="10" t="s">
        <v>937</v>
      </c>
      <c r="M190" s="23"/>
      <c r="N190" s="23"/>
      <c r="O190" s="23"/>
      <c r="P190" s="11"/>
      <c r="Q190" t="s">
        <v>198</v>
      </c>
      <c r="R190" s="15" t="str">
        <f t="shared" si="13"/>
        <v>@Semantics.amount.currencyCode</v>
      </c>
      <c r="S190" s="11" t="str">
        <f t="shared" si="14"/>
        <v>'komk.waerk'</v>
      </c>
      <c r="V190" t="str">
        <f t="shared" si="15"/>
        <v xml:space="preserve">  @Semantics.amount.currencyCode : 'komk.waerk'</v>
      </c>
      <c r="W190" t="str">
        <f>IFERROR(INDEX('[1]Resolved Data Elem'!$E$4:$E$1070,MATCH(J190,'[1]Resolved Data Elem'!$D$4:$D$1070,0)),"--")</f>
        <v>--</v>
      </c>
    </row>
    <row r="191" spans="2:23" x14ac:dyDescent="0.25">
      <c r="B191" s="22" t="s">
        <v>614</v>
      </c>
      <c r="C191" s="23"/>
      <c r="D191" s="23"/>
      <c r="E191" s="23"/>
      <c r="F191" s="23"/>
      <c r="G191" s="11"/>
      <c r="H191" t="s">
        <v>198</v>
      </c>
      <c r="I191" s="15" t="str">
        <f t="shared" si="16"/>
        <v>cessamount</v>
      </c>
      <c r="J191" s="11" t="str">
        <f t="shared" si="17"/>
        <v>zcy_det_cessamount</v>
      </c>
      <c r="K191" t="s">
        <v>198</v>
      </c>
      <c r="L191" s="17" t="s">
        <v>945</v>
      </c>
      <c r="M191" s="23"/>
      <c r="N191" s="23"/>
      <c r="O191" s="23"/>
      <c r="P191" s="11"/>
      <c r="Q191" t="s">
        <v>198</v>
      </c>
      <c r="R191" s="15" t="str">
        <f t="shared" si="13"/>
        <v>cessamount</v>
      </c>
      <c r="S191" s="11" t="str">
        <f t="shared" si="14"/>
        <v>abap.curr(13,2);</v>
      </c>
      <c r="V191" t="str">
        <f t="shared" si="15"/>
        <v xml:space="preserve">  cessamount                     : zcy_det_cessamount;</v>
      </c>
      <c r="W191" t="str">
        <f>IFERROR(INDEX('[1]Resolved Data Elem'!$E$4:$E$1070,MATCH(J191,'[1]Resolved Data Elem'!$D$4:$D$1070,0)),"--")</f>
        <v>--</v>
      </c>
    </row>
    <row r="192" spans="2:23" x14ac:dyDescent="0.25">
      <c r="B192" s="22" t="s">
        <v>119</v>
      </c>
      <c r="C192" s="23"/>
      <c r="D192" s="23"/>
      <c r="E192" s="23"/>
      <c r="F192" s="23"/>
      <c r="G192" s="11"/>
      <c r="H192" t="s">
        <v>198</v>
      </c>
      <c r="I192" s="15" t="str">
        <f t="shared" si="16"/>
        <v>@Semantics.amount.currencyCode</v>
      </c>
      <c r="J192" s="11" t="str">
        <f t="shared" si="17"/>
        <v>'komk.waerk'</v>
      </c>
      <c r="K192" t="s">
        <v>198</v>
      </c>
      <c r="L192" s="10" t="s">
        <v>937</v>
      </c>
      <c r="M192" s="23"/>
      <c r="N192" s="23"/>
      <c r="O192" s="23"/>
      <c r="P192" s="11"/>
      <c r="Q192" t="s">
        <v>198</v>
      </c>
      <c r="R192" s="15" t="str">
        <f t="shared" si="13"/>
        <v>@Semantics.amount.currencyCode</v>
      </c>
      <c r="S192" s="11" t="str">
        <f t="shared" si="14"/>
        <v>'komk.waerk'</v>
      </c>
      <c r="V192" t="str">
        <f t="shared" si="15"/>
        <v xml:space="preserve">  @Semantics.amount.currencyCode : 'komk.waerk'</v>
      </c>
      <c r="W192" t="str">
        <f>IFERROR(INDEX('[1]Resolved Data Elem'!$E$4:$E$1070,MATCH(J192,'[1]Resolved Data Elem'!$D$4:$D$1070,0)),"--")</f>
        <v>--</v>
      </c>
    </row>
    <row r="193" spans="2:23" x14ac:dyDescent="0.25">
      <c r="B193" s="22" t="s">
        <v>615</v>
      </c>
      <c r="C193" s="23"/>
      <c r="D193" s="23"/>
      <c r="E193" s="23"/>
      <c r="F193" s="23"/>
      <c r="G193" s="11"/>
      <c r="H193" t="s">
        <v>198</v>
      </c>
      <c r="I193" s="15" t="str">
        <f t="shared" si="16"/>
        <v>statecessamount</v>
      </c>
      <c r="J193" s="11" t="str">
        <f t="shared" si="17"/>
        <v>zcy_det_statecessamount</v>
      </c>
      <c r="K193" t="s">
        <v>198</v>
      </c>
      <c r="L193" s="17" t="s">
        <v>946</v>
      </c>
      <c r="M193" s="23"/>
      <c r="N193" s="23"/>
      <c r="O193" s="23"/>
      <c r="P193" s="11"/>
      <c r="Q193" t="s">
        <v>198</v>
      </c>
      <c r="R193" s="15" t="str">
        <f t="shared" si="13"/>
        <v>statecessamount</v>
      </c>
      <c r="S193" s="11" t="str">
        <f t="shared" si="14"/>
        <v>abap.curr(13,2);</v>
      </c>
      <c r="V193" t="str">
        <f t="shared" si="15"/>
        <v xml:space="preserve">  statecessamount                : zcy_det_statecessamount;</v>
      </c>
      <c r="W193" t="str">
        <f>IFERROR(INDEX('[1]Resolved Data Elem'!$E$4:$E$1070,MATCH(J193,'[1]Resolved Data Elem'!$D$4:$D$1070,0)),"--")</f>
        <v>--</v>
      </c>
    </row>
    <row r="194" spans="2:23" x14ac:dyDescent="0.25">
      <c r="B194" s="22" t="s">
        <v>119</v>
      </c>
      <c r="C194" s="23"/>
      <c r="D194" s="23"/>
      <c r="E194" s="23"/>
      <c r="F194" s="23"/>
      <c r="G194" s="11"/>
      <c r="H194" t="s">
        <v>198</v>
      </c>
      <c r="I194" s="15" t="str">
        <f t="shared" si="16"/>
        <v>@Semantics.amount.currencyCode</v>
      </c>
      <c r="J194" s="11" t="str">
        <f t="shared" si="17"/>
        <v>'komk.waerk'</v>
      </c>
      <c r="K194" t="s">
        <v>198</v>
      </c>
      <c r="L194" s="10" t="s">
        <v>937</v>
      </c>
      <c r="M194" s="23"/>
      <c r="N194" s="23"/>
      <c r="O194" s="23"/>
      <c r="P194" s="11"/>
      <c r="Q194" t="s">
        <v>198</v>
      </c>
      <c r="R194" s="15" t="str">
        <f t="shared" si="13"/>
        <v>@Semantics.amount.currencyCode</v>
      </c>
      <c r="S194" s="11" t="str">
        <f t="shared" si="14"/>
        <v>'komk.waerk'</v>
      </c>
      <c r="V194" t="str">
        <f t="shared" si="15"/>
        <v xml:space="preserve">  @Semantics.amount.currencyCode : 'komk.waerk'</v>
      </c>
      <c r="W194" t="str">
        <f>IFERROR(INDEX('[1]Resolved Data Elem'!$E$4:$E$1070,MATCH(J194,'[1]Resolved Data Elem'!$D$4:$D$1070,0)),"--")</f>
        <v>--</v>
      </c>
    </row>
    <row r="195" spans="2:23" x14ac:dyDescent="0.25">
      <c r="B195" s="22" t="s">
        <v>616</v>
      </c>
      <c r="C195" s="23"/>
      <c r="D195" s="23"/>
      <c r="E195" s="23"/>
      <c r="F195" s="23"/>
      <c r="G195" s="11"/>
      <c r="H195" t="s">
        <v>198</v>
      </c>
      <c r="I195" s="15" t="str">
        <f t="shared" si="16"/>
        <v>cessnonadvaloremamount</v>
      </c>
      <c r="J195" s="11" t="str">
        <f t="shared" si="17"/>
        <v>zcy_det_cessnonadvaloremamount</v>
      </c>
      <c r="K195" t="s">
        <v>198</v>
      </c>
      <c r="L195" s="17" t="s">
        <v>947</v>
      </c>
      <c r="M195" s="23"/>
      <c r="N195" s="23"/>
      <c r="O195" s="23"/>
      <c r="P195" s="11"/>
      <c r="Q195" t="s">
        <v>198</v>
      </c>
      <c r="R195" s="15" t="str">
        <f t="shared" si="13"/>
        <v>cessnonadvaloremamount</v>
      </c>
      <c r="S195" s="11" t="str">
        <f t="shared" si="14"/>
        <v>abap.curr(13,2);</v>
      </c>
      <c r="V195" t="str">
        <f t="shared" si="15"/>
        <v xml:space="preserve">  cessnonadvaloremamount         : zcy_det_cessnonadvaloremamount;</v>
      </c>
      <c r="W195" t="str">
        <f>IFERROR(INDEX('[1]Resolved Data Elem'!$E$4:$E$1070,MATCH(J195,'[1]Resolved Data Elem'!$D$4:$D$1070,0)),"--")</f>
        <v>--</v>
      </c>
    </row>
    <row r="196" spans="2:23" x14ac:dyDescent="0.25">
      <c r="B196" s="22" t="s">
        <v>617</v>
      </c>
      <c r="C196" s="23"/>
      <c r="D196" s="23"/>
      <c r="E196" s="23"/>
      <c r="F196" s="23"/>
      <c r="G196" s="11"/>
      <c r="H196" t="s">
        <v>198</v>
      </c>
      <c r="I196" s="15" t="str">
        <f t="shared" si="16"/>
        <v>statecessnonadvaloremamount</v>
      </c>
      <c r="J196" s="11" t="str">
        <f t="shared" si="17"/>
        <v>zcy_det_statecessnonadvalorema</v>
      </c>
      <c r="K196" t="s">
        <v>198</v>
      </c>
      <c r="L196" s="17" t="s">
        <v>948</v>
      </c>
      <c r="M196" s="23"/>
      <c r="N196" s="23"/>
      <c r="O196" s="23"/>
      <c r="P196" s="11"/>
      <c r="Q196" t="s">
        <v>198</v>
      </c>
      <c r="R196" s="15" t="str">
        <f t="shared" si="13"/>
        <v>statecessnonadvaloremamount</v>
      </c>
      <c r="S196" s="11" t="str">
        <f t="shared" si="14"/>
        <v>abap.char(14);</v>
      </c>
      <c r="V196" t="str">
        <f t="shared" si="15"/>
        <v xml:space="preserve">  statecessnonadvaloremamount    : zcy_det_statecessnonadvalorema;</v>
      </c>
      <c r="W196" t="str">
        <f>IFERROR(INDEX('[1]Resolved Data Elem'!$E$4:$E$1070,MATCH(J196,'[1]Resolved Data Elem'!$D$4:$D$1070,0)),"--")</f>
        <v>--</v>
      </c>
    </row>
    <row r="197" spans="2:23" x14ac:dyDescent="0.25">
      <c r="B197" s="22" t="s">
        <v>618</v>
      </c>
      <c r="C197" s="23"/>
      <c r="D197" s="23"/>
      <c r="E197" s="23"/>
      <c r="F197" s="23"/>
      <c r="G197" s="11"/>
      <c r="H197" t="s">
        <v>198</v>
      </c>
      <c r="I197" s="15" t="str">
        <f t="shared" si="16"/>
        <v>taxtype</v>
      </c>
      <c r="J197" s="11" t="str">
        <f t="shared" si="17"/>
        <v>zcy_det_taxtype</v>
      </c>
      <c r="K197" t="s">
        <v>198</v>
      </c>
      <c r="L197" s="17" t="s">
        <v>949</v>
      </c>
      <c r="M197" s="23"/>
      <c r="N197" s="23"/>
      <c r="O197" s="23"/>
      <c r="P197" s="11"/>
      <c r="Q197" t="s">
        <v>198</v>
      </c>
      <c r="R197" s="15" t="str">
        <f t="shared" si="13"/>
        <v>taxtype</v>
      </c>
      <c r="S197" s="11" t="str">
        <f t="shared" si="14"/>
        <v>abap.char(7);</v>
      </c>
      <c r="V197" t="str">
        <f t="shared" si="15"/>
        <v xml:space="preserve">  taxtype                        : zcy_det_taxtype;</v>
      </c>
      <c r="W197" t="str">
        <f>IFERROR(INDEX('[1]Resolved Data Elem'!$E$4:$E$1070,MATCH(J197,'[1]Resolved Data Elem'!$D$4:$D$1070,0)),"--")</f>
        <v>--</v>
      </c>
    </row>
    <row r="198" spans="2:23" x14ac:dyDescent="0.25">
      <c r="B198" s="22" t="s">
        <v>619</v>
      </c>
      <c r="C198" s="23"/>
      <c r="D198" s="23"/>
      <c r="E198" s="23"/>
      <c r="F198" s="23"/>
      <c r="G198" s="11"/>
      <c r="H198" t="s">
        <v>198</v>
      </c>
      <c r="I198" s="15" t="str">
        <f t="shared" si="16"/>
        <v>itceligibility</v>
      </c>
      <c r="J198" s="11" t="str">
        <f t="shared" si="17"/>
        <v>zcy_det_itceligibility</v>
      </c>
      <c r="K198" t="s">
        <v>198</v>
      </c>
      <c r="L198" s="17" t="s">
        <v>721</v>
      </c>
      <c r="M198" s="23"/>
      <c r="N198" s="23"/>
      <c r="O198" s="23"/>
      <c r="P198" s="11"/>
      <c r="Q198" t="s">
        <v>198</v>
      </c>
      <c r="R198" s="15" t="str">
        <f t="shared" si="13"/>
        <v>itceligibility</v>
      </c>
      <c r="S198" s="11" t="str">
        <f t="shared" si="14"/>
        <v>abap.char(2);</v>
      </c>
      <c r="V198" t="str">
        <f t="shared" si="15"/>
        <v xml:space="preserve">  itceligibility                 : zcy_det_itceligibility;</v>
      </c>
      <c r="W198" t="str">
        <f>IFERROR(INDEX('[1]Resolved Data Elem'!$E$4:$E$1070,MATCH(J198,'[1]Resolved Data Elem'!$D$4:$D$1070,0)),"--")</f>
        <v>--</v>
      </c>
    </row>
    <row r="199" spans="2:23" x14ac:dyDescent="0.25">
      <c r="B199" s="22" t="s">
        <v>119</v>
      </c>
      <c r="C199" s="23"/>
      <c r="D199" s="23"/>
      <c r="E199" s="23"/>
      <c r="F199" s="23"/>
      <c r="G199" s="11"/>
      <c r="H199" t="s">
        <v>198</v>
      </c>
      <c r="I199" s="15" t="str">
        <f t="shared" si="16"/>
        <v>@Semantics.amount.currencyCode</v>
      </c>
      <c r="J199" s="11" t="str">
        <f t="shared" si="17"/>
        <v>'komk.waerk'</v>
      </c>
      <c r="K199" t="s">
        <v>198</v>
      </c>
      <c r="L199" s="10" t="s">
        <v>937</v>
      </c>
      <c r="M199" s="23"/>
      <c r="N199" s="23"/>
      <c r="O199" s="23"/>
      <c r="P199" s="11"/>
      <c r="Q199" t="s">
        <v>198</v>
      </c>
      <c r="R199" s="15" t="str">
        <f t="shared" si="13"/>
        <v>@Semantics.amount.currencyCode</v>
      </c>
      <c r="S199" s="11" t="str">
        <f t="shared" si="14"/>
        <v>'komk.waerk'</v>
      </c>
      <c r="V199" t="str">
        <f t="shared" si="15"/>
        <v xml:space="preserve">  @Semantics.amount.currencyCode : 'komk.waerk'</v>
      </c>
      <c r="W199" t="str">
        <f>IFERROR(INDEX('[1]Resolved Data Elem'!$E$4:$E$1070,MATCH(J199,'[1]Resolved Data Elem'!$D$4:$D$1070,0)),"--")</f>
        <v>--</v>
      </c>
    </row>
    <row r="200" spans="2:23" x14ac:dyDescent="0.25">
      <c r="B200" s="22" t="s">
        <v>620</v>
      </c>
      <c r="C200" s="23"/>
      <c r="D200" s="23"/>
      <c r="E200" s="23"/>
      <c r="F200" s="23"/>
      <c r="G200" s="11"/>
      <c r="H200" t="s">
        <v>198</v>
      </c>
      <c r="I200" s="15" t="str">
        <f t="shared" si="16"/>
        <v>itcigstamount</v>
      </c>
      <c r="J200" s="11" t="str">
        <f t="shared" si="17"/>
        <v>zcy_det_itcigstamount</v>
      </c>
      <c r="K200" t="s">
        <v>198</v>
      </c>
      <c r="L200" s="17" t="s">
        <v>950</v>
      </c>
      <c r="M200" s="23"/>
      <c r="N200" s="23"/>
      <c r="O200" s="23"/>
      <c r="P200" s="11"/>
      <c r="Q200" t="s">
        <v>198</v>
      </c>
      <c r="R200" s="15" t="str">
        <f t="shared" si="13"/>
        <v>itcigstamount</v>
      </c>
      <c r="S200" s="11" t="str">
        <f t="shared" si="14"/>
        <v>abap.curr(13,2);</v>
      </c>
      <c r="V200" t="str">
        <f t="shared" si="15"/>
        <v xml:space="preserve">  itcigstamount                  : zcy_det_itcigstamount;</v>
      </c>
      <c r="W200" t="str">
        <f>IFERROR(INDEX('[1]Resolved Data Elem'!$E$4:$E$1070,MATCH(J200,'[1]Resolved Data Elem'!$D$4:$D$1070,0)),"--")</f>
        <v>--</v>
      </c>
    </row>
    <row r="201" spans="2:23" x14ac:dyDescent="0.25">
      <c r="B201" s="22" t="s">
        <v>119</v>
      </c>
      <c r="C201" s="23"/>
      <c r="D201" s="23"/>
      <c r="E201" s="23"/>
      <c r="F201" s="23"/>
      <c r="G201" s="11"/>
      <c r="H201" t="s">
        <v>198</v>
      </c>
      <c r="I201" s="15" t="str">
        <f t="shared" si="16"/>
        <v>@Semantics.amount.currencyCode</v>
      </c>
      <c r="J201" s="11" t="str">
        <f t="shared" si="17"/>
        <v>'komk.waerk'</v>
      </c>
      <c r="K201" t="s">
        <v>198</v>
      </c>
      <c r="L201" s="10" t="s">
        <v>937</v>
      </c>
      <c r="M201" s="23"/>
      <c r="N201" s="23"/>
      <c r="O201" s="23"/>
      <c r="P201" s="11"/>
      <c r="Q201" t="s">
        <v>198</v>
      </c>
      <c r="R201" s="15" t="str">
        <f t="shared" si="13"/>
        <v>@Semantics.amount.currencyCode</v>
      </c>
      <c r="S201" s="11" t="str">
        <f t="shared" si="14"/>
        <v>'komk.waerk'</v>
      </c>
      <c r="V201" t="str">
        <f t="shared" si="15"/>
        <v xml:space="preserve">  @Semantics.amount.currencyCode : 'komk.waerk'</v>
      </c>
      <c r="W201" t="str">
        <f>IFERROR(INDEX('[1]Resolved Data Elem'!$E$4:$E$1070,MATCH(J201,'[1]Resolved Data Elem'!$D$4:$D$1070,0)),"--")</f>
        <v>--</v>
      </c>
    </row>
    <row r="202" spans="2:23" x14ac:dyDescent="0.25">
      <c r="B202" s="22" t="s">
        <v>621</v>
      </c>
      <c r="C202" s="23"/>
      <c r="D202" s="23"/>
      <c r="E202" s="23"/>
      <c r="F202" s="23"/>
      <c r="G202" s="11"/>
      <c r="H202" t="s">
        <v>198</v>
      </c>
      <c r="I202" s="15" t="str">
        <f t="shared" si="16"/>
        <v>itccgstamount</v>
      </c>
      <c r="J202" s="11" t="str">
        <f t="shared" si="17"/>
        <v>zcy_det_itccgstamount</v>
      </c>
      <c r="K202" t="s">
        <v>198</v>
      </c>
      <c r="L202" s="17" t="s">
        <v>951</v>
      </c>
      <c r="M202" s="23"/>
      <c r="N202" s="23"/>
      <c r="O202" s="23"/>
      <c r="P202" s="11"/>
      <c r="Q202" t="s">
        <v>198</v>
      </c>
      <c r="R202" s="15" t="str">
        <f t="shared" ref="R202:R265" si="18">TRIM(SUBSTITUTE(MID(L202,1,FIND(":",L202)-1),"key",""))</f>
        <v>itccgstamount</v>
      </c>
      <c r="S202" s="11" t="str">
        <f t="shared" ref="S202:S265" si="19">TRIM(MID(L202,FIND(":",L202)+1,LEN(L202)))</f>
        <v>abap.curr(13,2);</v>
      </c>
      <c r="V202" t="str">
        <f t="shared" ref="V202:V265" si="20">IF(OR(ISERROR(W202),W202="--"),B202,IF(ISNUMBER(SEARCH("@",I202)),B202,I202&amp;"  :  "&amp;IF(W202="",J202,W202)))</f>
        <v xml:space="preserve">  itccgstamount                  : zcy_det_itccgstamount;</v>
      </c>
      <c r="W202" t="str">
        <f>IFERROR(INDEX('[1]Resolved Data Elem'!$E$4:$E$1070,MATCH(J202,'[1]Resolved Data Elem'!$D$4:$D$1070,0)),"--")</f>
        <v>--</v>
      </c>
    </row>
    <row r="203" spans="2:23" x14ac:dyDescent="0.25">
      <c r="B203" s="22" t="s">
        <v>119</v>
      </c>
      <c r="C203" s="23"/>
      <c r="D203" s="23"/>
      <c r="E203" s="23"/>
      <c r="F203" s="23"/>
      <c r="G203" s="11"/>
      <c r="H203" t="s">
        <v>198</v>
      </c>
      <c r="I203" s="15" t="str">
        <f t="shared" ref="I203:I266" si="21">IF(B203="","",TRIM(MID(B203,1,FIND(":",B203)-1)))</f>
        <v>@Semantics.amount.currencyCode</v>
      </c>
      <c r="J203" s="11" t="str">
        <f t="shared" ref="J203:J266" si="22">IF(B203="","",TRIM(SUBSTITUTE(SUBSTITUTE(TRIM(MID(B203,FIND(":",B203)+1,LEN(B203))),";",""),"not null","")))</f>
        <v>'komk.waerk'</v>
      </c>
      <c r="K203" t="s">
        <v>198</v>
      </c>
      <c r="L203" s="10" t="s">
        <v>937</v>
      </c>
      <c r="M203" s="23"/>
      <c r="N203" s="23"/>
      <c r="O203" s="23"/>
      <c r="P203" s="11"/>
      <c r="Q203" t="s">
        <v>198</v>
      </c>
      <c r="R203" s="15" t="str">
        <f t="shared" si="18"/>
        <v>@Semantics.amount.currencyCode</v>
      </c>
      <c r="S203" s="11" t="str">
        <f t="shared" si="19"/>
        <v>'komk.waerk'</v>
      </c>
      <c r="V203" t="str">
        <f t="shared" si="20"/>
        <v xml:space="preserve">  @Semantics.amount.currencyCode : 'komk.waerk'</v>
      </c>
      <c r="W203" t="str">
        <f>IFERROR(INDEX('[1]Resolved Data Elem'!$E$4:$E$1070,MATCH(J203,'[1]Resolved Data Elem'!$D$4:$D$1070,0)),"--")</f>
        <v>--</v>
      </c>
    </row>
    <row r="204" spans="2:23" x14ac:dyDescent="0.25">
      <c r="B204" s="22" t="s">
        <v>622</v>
      </c>
      <c r="C204" s="23"/>
      <c r="D204" s="23"/>
      <c r="E204" s="23"/>
      <c r="F204" s="23"/>
      <c r="G204" s="11"/>
      <c r="H204" t="s">
        <v>198</v>
      </c>
      <c r="I204" s="15" t="str">
        <f t="shared" si="21"/>
        <v>itcsgstamount</v>
      </c>
      <c r="J204" s="11" t="str">
        <f t="shared" si="22"/>
        <v>zcy_det_itcsgstamount</v>
      </c>
      <c r="K204" t="s">
        <v>198</v>
      </c>
      <c r="L204" s="17" t="s">
        <v>952</v>
      </c>
      <c r="M204" s="23"/>
      <c r="N204" s="23"/>
      <c r="O204" s="23"/>
      <c r="P204" s="11"/>
      <c r="Q204" t="s">
        <v>198</v>
      </c>
      <c r="R204" s="15" t="str">
        <f t="shared" si="18"/>
        <v>itcsgstamount</v>
      </c>
      <c r="S204" s="11" t="str">
        <f t="shared" si="19"/>
        <v>abap.curr(13,2);</v>
      </c>
      <c r="V204" t="str">
        <f t="shared" si="20"/>
        <v xml:space="preserve">  itcsgstamount                  : zcy_det_itcsgstamount;</v>
      </c>
      <c r="W204" t="str">
        <f>IFERROR(INDEX('[1]Resolved Data Elem'!$E$4:$E$1070,MATCH(J204,'[1]Resolved Data Elem'!$D$4:$D$1070,0)),"--")</f>
        <v>--</v>
      </c>
    </row>
    <row r="205" spans="2:23" x14ac:dyDescent="0.25">
      <c r="B205" s="22" t="s">
        <v>119</v>
      </c>
      <c r="C205" s="23"/>
      <c r="D205" s="23"/>
      <c r="E205" s="23"/>
      <c r="F205" s="23"/>
      <c r="G205" s="11"/>
      <c r="H205" t="s">
        <v>198</v>
      </c>
      <c r="I205" s="15" t="str">
        <f t="shared" si="21"/>
        <v>@Semantics.amount.currencyCode</v>
      </c>
      <c r="J205" s="11" t="str">
        <f t="shared" si="22"/>
        <v>'komk.waerk'</v>
      </c>
      <c r="K205" t="s">
        <v>198</v>
      </c>
      <c r="L205" s="10" t="s">
        <v>937</v>
      </c>
      <c r="M205" s="23"/>
      <c r="N205" s="23"/>
      <c r="O205" s="23"/>
      <c r="P205" s="11"/>
      <c r="Q205" t="s">
        <v>198</v>
      </c>
      <c r="R205" s="15" t="str">
        <f t="shared" si="18"/>
        <v>@Semantics.amount.currencyCode</v>
      </c>
      <c r="S205" s="11" t="str">
        <f t="shared" si="19"/>
        <v>'komk.waerk'</v>
      </c>
      <c r="V205" t="str">
        <f t="shared" si="20"/>
        <v xml:space="preserve">  @Semantics.amount.currencyCode : 'komk.waerk'</v>
      </c>
      <c r="W205" t="str">
        <f>IFERROR(INDEX('[1]Resolved Data Elem'!$E$4:$E$1070,MATCH(J205,'[1]Resolved Data Elem'!$D$4:$D$1070,0)),"--")</f>
        <v>--</v>
      </c>
    </row>
    <row r="206" spans="2:23" x14ac:dyDescent="0.25">
      <c r="B206" s="22" t="s">
        <v>623</v>
      </c>
      <c r="C206" s="23"/>
      <c r="D206" s="23"/>
      <c r="E206" s="23"/>
      <c r="F206" s="23"/>
      <c r="G206" s="11"/>
      <c r="H206" t="s">
        <v>198</v>
      </c>
      <c r="I206" s="15" t="str">
        <f t="shared" si="21"/>
        <v>itccessamount</v>
      </c>
      <c r="J206" s="11" t="str">
        <f t="shared" si="22"/>
        <v>zcy_det_itccessamount</v>
      </c>
      <c r="K206" t="s">
        <v>198</v>
      </c>
      <c r="L206" s="17" t="s">
        <v>953</v>
      </c>
      <c r="M206" s="23"/>
      <c r="N206" s="23"/>
      <c r="O206" s="23"/>
      <c r="P206" s="11"/>
      <c r="Q206" t="s">
        <v>198</v>
      </c>
      <c r="R206" s="15" t="str">
        <f t="shared" si="18"/>
        <v>itccessamount</v>
      </c>
      <c r="S206" s="11" t="str">
        <f t="shared" si="19"/>
        <v>abap.curr(13,2);</v>
      </c>
      <c r="V206" t="str">
        <f t="shared" si="20"/>
        <v xml:space="preserve">  itccessamount                  : zcy_det_itccessamount;</v>
      </c>
      <c r="W206" t="str">
        <f>IFERROR(INDEX('[1]Resolved Data Elem'!$E$4:$E$1070,MATCH(J206,'[1]Resolved Data Elem'!$D$4:$D$1070,0)),"--")</f>
        <v>--</v>
      </c>
    </row>
    <row r="207" spans="2:23" x14ac:dyDescent="0.25">
      <c r="B207" s="22" t="s">
        <v>624</v>
      </c>
      <c r="C207" s="23"/>
      <c r="D207" s="23"/>
      <c r="E207" s="23"/>
      <c r="F207" s="23"/>
      <c r="G207" s="11"/>
      <c r="H207" t="s">
        <v>198</v>
      </c>
      <c r="I207" s="15" t="str">
        <f t="shared" si="21"/>
        <v>customitem1</v>
      </c>
      <c r="J207" s="11" t="str">
        <f t="shared" si="22"/>
        <v>zcy_det_customitem1</v>
      </c>
      <c r="K207" t="s">
        <v>198</v>
      </c>
      <c r="L207" s="17" t="s">
        <v>722</v>
      </c>
      <c r="M207" s="23"/>
      <c r="N207" s="23"/>
      <c r="O207" s="23"/>
      <c r="P207" s="11"/>
      <c r="Q207" t="s">
        <v>198</v>
      </c>
      <c r="R207" s="15" t="str">
        <f t="shared" si="18"/>
        <v>customitem1</v>
      </c>
      <c r="S207" s="11" t="str">
        <f t="shared" si="19"/>
        <v>abap.char(40);</v>
      </c>
      <c r="V207" t="str">
        <f t="shared" si="20"/>
        <v xml:space="preserve">  customitem1                    : zcy_det_customitem1;</v>
      </c>
      <c r="W207" t="str">
        <f>IFERROR(INDEX('[1]Resolved Data Elem'!$E$4:$E$1070,MATCH(J207,'[1]Resolved Data Elem'!$D$4:$D$1070,0)),"--")</f>
        <v>--</v>
      </c>
    </row>
    <row r="208" spans="2:23" x14ac:dyDescent="0.25">
      <c r="B208" s="22" t="s">
        <v>625</v>
      </c>
      <c r="C208" s="23"/>
      <c r="D208" s="23"/>
      <c r="E208" s="23"/>
      <c r="F208" s="23"/>
      <c r="G208" s="11"/>
      <c r="H208" t="s">
        <v>198</v>
      </c>
      <c r="I208" s="15" t="str">
        <f t="shared" si="21"/>
        <v>customitem2</v>
      </c>
      <c r="J208" s="11" t="str">
        <f t="shared" si="22"/>
        <v>zcy_det_customitem2</v>
      </c>
      <c r="K208" t="s">
        <v>198</v>
      </c>
      <c r="L208" s="17" t="s">
        <v>723</v>
      </c>
      <c r="M208" s="23"/>
      <c r="N208" s="23"/>
      <c r="O208" s="23"/>
      <c r="P208" s="11"/>
      <c r="Q208" t="s">
        <v>198</v>
      </c>
      <c r="R208" s="15" t="str">
        <f t="shared" si="18"/>
        <v>customitem2</v>
      </c>
      <c r="S208" s="11" t="str">
        <f t="shared" si="19"/>
        <v>abap.char(40);</v>
      </c>
      <c r="V208" t="str">
        <f t="shared" si="20"/>
        <v xml:space="preserve">  customitem2                    : zcy_det_customitem2;</v>
      </c>
      <c r="W208" t="str">
        <f>IFERROR(INDEX('[1]Resolved Data Elem'!$E$4:$E$1070,MATCH(J208,'[1]Resolved Data Elem'!$D$4:$D$1070,0)),"--")</f>
        <v>--</v>
      </c>
    </row>
    <row r="209" spans="2:23" x14ac:dyDescent="0.25">
      <c r="B209" s="22" t="s">
        <v>626</v>
      </c>
      <c r="C209" s="23"/>
      <c r="D209" s="23"/>
      <c r="E209" s="23"/>
      <c r="F209" s="23"/>
      <c r="G209" s="11"/>
      <c r="H209" t="s">
        <v>198</v>
      </c>
      <c r="I209" s="15" t="str">
        <f t="shared" si="21"/>
        <v>customitem3</v>
      </c>
      <c r="J209" s="11" t="str">
        <f t="shared" si="22"/>
        <v>zcy_det_customitem3</v>
      </c>
      <c r="K209" t="s">
        <v>198</v>
      </c>
      <c r="L209" s="17" t="s">
        <v>724</v>
      </c>
      <c r="M209" s="23"/>
      <c r="N209" s="23"/>
      <c r="O209" s="23"/>
      <c r="P209" s="11"/>
      <c r="Q209" t="s">
        <v>198</v>
      </c>
      <c r="R209" s="15" t="str">
        <f t="shared" si="18"/>
        <v>customitem3</v>
      </c>
      <c r="S209" s="11" t="str">
        <f t="shared" si="19"/>
        <v>abap.char(40);</v>
      </c>
      <c r="V209" t="str">
        <f t="shared" si="20"/>
        <v xml:space="preserve">  customitem3                    : zcy_det_customitem3;</v>
      </c>
      <c r="W209" t="str">
        <f>IFERROR(INDEX('[1]Resolved Data Elem'!$E$4:$E$1070,MATCH(J209,'[1]Resolved Data Elem'!$D$4:$D$1070,0)),"--")</f>
        <v>--</v>
      </c>
    </row>
    <row r="210" spans="2:23" x14ac:dyDescent="0.25">
      <c r="B210" s="22" t="s">
        <v>627</v>
      </c>
      <c r="C210" s="23"/>
      <c r="D210" s="23"/>
      <c r="E210" s="23"/>
      <c r="F210" s="23"/>
      <c r="G210" s="11"/>
      <c r="H210" t="s">
        <v>198</v>
      </c>
      <c r="I210" s="15" t="str">
        <f t="shared" si="21"/>
        <v>customitem4</v>
      </c>
      <c r="J210" s="11" t="str">
        <f t="shared" si="22"/>
        <v>zcy_det_customitem4</v>
      </c>
      <c r="K210" t="s">
        <v>198</v>
      </c>
      <c r="L210" s="17" t="s">
        <v>725</v>
      </c>
      <c r="M210" s="23"/>
      <c r="N210" s="23"/>
      <c r="O210" s="23"/>
      <c r="P210" s="11"/>
      <c r="Q210" t="s">
        <v>198</v>
      </c>
      <c r="R210" s="15" t="str">
        <f t="shared" si="18"/>
        <v>customitem4</v>
      </c>
      <c r="S210" s="11" t="str">
        <f t="shared" si="19"/>
        <v>abap.char(40);</v>
      </c>
      <c r="V210" t="str">
        <f t="shared" si="20"/>
        <v xml:space="preserve">  customitem4                    : zcy_det_customitem4;</v>
      </c>
      <c r="W210" t="str">
        <f>IFERROR(INDEX('[1]Resolved Data Elem'!$E$4:$E$1070,MATCH(J210,'[1]Resolved Data Elem'!$D$4:$D$1070,0)),"--")</f>
        <v>--</v>
      </c>
    </row>
    <row r="211" spans="2:23" x14ac:dyDescent="0.25">
      <c r="B211" s="22" t="s">
        <v>628</v>
      </c>
      <c r="C211" s="23"/>
      <c r="D211" s="23"/>
      <c r="E211" s="23"/>
      <c r="F211" s="23"/>
      <c r="G211" s="11"/>
      <c r="H211" t="s">
        <v>198</v>
      </c>
      <c r="I211" s="15" t="str">
        <f t="shared" si="21"/>
        <v>customitem5</v>
      </c>
      <c r="J211" s="11" t="str">
        <f t="shared" si="22"/>
        <v>zcy_det_customitem5</v>
      </c>
      <c r="K211" t="s">
        <v>198</v>
      </c>
      <c r="L211" s="17" t="s">
        <v>726</v>
      </c>
      <c r="M211" s="23"/>
      <c r="N211" s="23"/>
      <c r="O211" s="23"/>
      <c r="P211" s="11"/>
      <c r="Q211" t="s">
        <v>198</v>
      </c>
      <c r="R211" s="15" t="str">
        <f t="shared" si="18"/>
        <v>customitem5</v>
      </c>
      <c r="S211" s="11" t="str">
        <f t="shared" si="19"/>
        <v>abap.char(40);</v>
      </c>
      <c r="V211" t="str">
        <f t="shared" si="20"/>
        <v xml:space="preserve">  customitem5                    : zcy_det_customitem5;</v>
      </c>
      <c r="W211" t="str">
        <f>IFERROR(INDEX('[1]Resolved Data Elem'!$E$4:$E$1070,MATCH(J211,'[1]Resolved Data Elem'!$D$4:$D$1070,0)),"--")</f>
        <v>--</v>
      </c>
    </row>
    <row r="212" spans="2:23" x14ac:dyDescent="0.25">
      <c r="B212" s="22" t="s">
        <v>629</v>
      </c>
      <c r="C212" s="23"/>
      <c r="D212" s="23"/>
      <c r="E212" s="23"/>
      <c r="F212" s="23"/>
      <c r="G212" s="11"/>
      <c r="H212" t="s">
        <v>198</v>
      </c>
      <c r="I212" s="15" t="str">
        <f t="shared" si="21"/>
        <v>customitem6</v>
      </c>
      <c r="J212" s="11" t="str">
        <f t="shared" si="22"/>
        <v>zcy_det_customitem6</v>
      </c>
      <c r="K212" t="s">
        <v>198</v>
      </c>
      <c r="L212" s="17" t="s">
        <v>727</v>
      </c>
      <c r="M212" s="23"/>
      <c r="N212" s="23"/>
      <c r="O212" s="23"/>
      <c r="P212" s="11"/>
      <c r="Q212" t="s">
        <v>198</v>
      </c>
      <c r="R212" s="15" t="str">
        <f t="shared" si="18"/>
        <v>customitem6</v>
      </c>
      <c r="S212" s="11" t="str">
        <f t="shared" si="19"/>
        <v>abap.char(40);</v>
      </c>
      <c r="V212" t="str">
        <f t="shared" si="20"/>
        <v xml:space="preserve">  customitem6                    : zcy_det_customitem6;</v>
      </c>
      <c r="W212" t="str">
        <f>IFERROR(INDEX('[1]Resolved Data Elem'!$E$4:$E$1070,MATCH(J212,'[1]Resolved Data Elem'!$D$4:$D$1070,0)),"--")</f>
        <v>--</v>
      </c>
    </row>
    <row r="213" spans="2:23" x14ac:dyDescent="0.25">
      <c r="B213" s="22" t="s">
        <v>630</v>
      </c>
      <c r="C213" s="23"/>
      <c r="D213" s="23"/>
      <c r="E213" s="23"/>
      <c r="F213" s="23"/>
      <c r="G213" s="11"/>
      <c r="H213" t="s">
        <v>198</v>
      </c>
      <c r="I213" s="15" t="str">
        <f t="shared" si="21"/>
        <v>customitem7</v>
      </c>
      <c r="J213" s="11" t="str">
        <f t="shared" si="22"/>
        <v>zcy_det_customitem7</v>
      </c>
      <c r="K213" t="s">
        <v>198</v>
      </c>
      <c r="L213" s="17" t="s">
        <v>728</v>
      </c>
      <c r="M213" s="23"/>
      <c r="N213" s="23"/>
      <c r="O213" s="23"/>
      <c r="P213" s="11"/>
      <c r="Q213" t="s">
        <v>198</v>
      </c>
      <c r="R213" s="15" t="str">
        <f t="shared" si="18"/>
        <v>customitem7</v>
      </c>
      <c r="S213" s="11" t="str">
        <f t="shared" si="19"/>
        <v>abap.char(40);</v>
      </c>
      <c r="V213" t="str">
        <f t="shared" si="20"/>
        <v xml:space="preserve">  customitem7                    : zcy_det_customitem7;</v>
      </c>
      <c r="W213" t="str">
        <f>IFERROR(INDEX('[1]Resolved Data Elem'!$E$4:$E$1070,MATCH(J213,'[1]Resolved Data Elem'!$D$4:$D$1070,0)),"--")</f>
        <v>--</v>
      </c>
    </row>
    <row r="214" spans="2:23" x14ac:dyDescent="0.25">
      <c r="B214" s="22" t="s">
        <v>631</v>
      </c>
      <c r="C214" s="23"/>
      <c r="D214" s="23"/>
      <c r="E214" s="23"/>
      <c r="F214" s="23"/>
      <c r="G214" s="11"/>
      <c r="H214" t="s">
        <v>198</v>
      </c>
      <c r="I214" s="15" t="str">
        <f t="shared" si="21"/>
        <v>customitem8</v>
      </c>
      <c r="J214" s="11" t="str">
        <f t="shared" si="22"/>
        <v>zcy_det_customitem8</v>
      </c>
      <c r="K214" t="s">
        <v>198</v>
      </c>
      <c r="L214" s="17" t="s">
        <v>729</v>
      </c>
      <c r="M214" s="23"/>
      <c r="N214" s="23"/>
      <c r="O214" s="23"/>
      <c r="P214" s="11"/>
      <c r="Q214" t="s">
        <v>198</v>
      </c>
      <c r="R214" s="15" t="str">
        <f t="shared" si="18"/>
        <v>customitem8</v>
      </c>
      <c r="S214" s="11" t="str">
        <f t="shared" si="19"/>
        <v>abap.char(40);</v>
      </c>
      <c r="V214" t="str">
        <f t="shared" si="20"/>
        <v xml:space="preserve">  customitem8                    : zcy_det_customitem8;</v>
      </c>
      <c r="W214" t="str">
        <f>IFERROR(INDEX('[1]Resolved Data Elem'!$E$4:$E$1070,MATCH(J214,'[1]Resolved Data Elem'!$D$4:$D$1070,0)),"--")</f>
        <v>--</v>
      </c>
    </row>
    <row r="215" spans="2:23" x14ac:dyDescent="0.25">
      <c r="B215" s="22" t="s">
        <v>632</v>
      </c>
      <c r="C215" s="23"/>
      <c r="D215" s="23"/>
      <c r="E215" s="23"/>
      <c r="F215" s="23"/>
      <c r="G215" s="11"/>
      <c r="H215" t="s">
        <v>198</v>
      </c>
      <c r="I215" s="15" t="str">
        <f t="shared" si="21"/>
        <v>customitem9</v>
      </c>
      <c r="J215" s="11" t="str">
        <f t="shared" si="22"/>
        <v>zcy_det_customitem9</v>
      </c>
      <c r="K215" t="s">
        <v>198</v>
      </c>
      <c r="L215" s="17" t="s">
        <v>730</v>
      </c>
      <c r="M215" s="23"/>
      <c r="N215" s="23"/>
      <c r="O215" s="23"/>
      <c r="P215" s="11"/>
      <c r="Q215" t="s">
        <v>198</v>
      </c>
      <c r="R215" s="15" t="str">
        <f t="shared" si="18"/>
        <v>customitem9</v>
      </c>
      <c r="S215" s="11" t="str">
        <f t="shared" si="19"/>
        <v>abap.char(40);</v>
      </c>
      <c r="V215" t="str">
        <f t="shared" si="20"/>
        <v xml:space="preserve">  customitem9                    : zcy_det_customitem9;</v>
      </c>
      <c r="W215" t="str">
        <f>IFERROR(INDEX('[1]Resolved Data Elem'!$E$4:$E$1070,MATCH(J215,'[1]Resolved Data Elem'!$D$4:$D$1070,0)),"--")</f>
        <v>--</v>
      </c>
    </row>
    <row r="216" spans="2:23" x14ac:dyDescent="0.25">
      <c r="B216" s="22" t="s">
        <v>633</v>
      </c>
      <c r="C216" s="23"/>
      <c r="D216" s="23"/>
      <c r="E216" s="23"/>
      <c r="F216" s="23"/>
      <c r="G216" s="11"/>
      <c r="H216" t="s">
        <v>198</v>
      </c>
      <c r="I216" s="15" t="str">
        <f t="shared" si="21"/>
        <v>customitem10</v>
      </c>
      <c r="J216" s="11" t="str">
        <f t="shared" si="22"/>
        <v>zcy_det_customitem10</v>
      </c>
      <c r="K216" t="s">
        <v>198</v>
      </c>
      <c r="L216" s="17" t="s">
        <v>954</v>
      </c>
      <c r="M216" s="23"/>
      <c r="N216" s="23"/>
      <c r="O216" s="23"/>
      <c r="P216" s="11"/>
      <c r="Q216" t="s">
        <v>198</v>
      </c>
      <c r="R216" s="15" t="str">
        <f t="shared" si="18"/>
        <v>customitem10</v>
      </c>
      <c r="S216" s="11" t="str">
        <f t="shared" si="19"/>
        <v>abap.char(40);</v>
      </c>
      <c r="V216" t="str">
        <f t="shared" si="20"/>
        <v xml:space="preserve">  customitem10                   : zcy_det_customitem10;</v>
      </c>
      <c r="W216" t="str">
        <f>IFERROR(INDEX('[1]Resolved Data Elem'!$E$4:$E$1070,MATCH(J216,'[1]Resolved Data Elem'!$D$4:$D$1070,0)),"--")</f>
        <v>--</v>
      </c>
    </row>
    <row r="217" spans="2:23" x14ac:dyDescent="0.25">
      <c r="B217" s="22" t="s">
        <v>634</v>
      </c>
      <c r="C217" s="23"/>
      <c r="D217" s="23"/>
      <c r="E217" s="23"/>
      <c r="F217" s="23"/>
      <c r="G217" s="11"/>
      <c r="H217" t="s">
        <v>198</v>
      </c>
      <c r="I217" s="15" t="str">
        <f t="shared" si="21"/>
        <v>cpgstin</v>
      </c>
      <c r="J217" s="11" t="str">
        <f t="shared" si="22"/>
        <v>zcy_det_cpgstin</v>
      </c>
      <c r="K217" t="s">
        <v>198</v>
      </c>
      <c r="L217" s="17" t="s">
        <v>955</v>
      </c>
      <c r="M217" s="23"/>
      <c r="N217" s="23"/>
      <c r="O217" s="23"/>
      <c r="P217" s="11"/>
      <c r="Q217" t="s">
        <v>198</v>
      </c>
      <c r="R217" s="15" t="str">
        <f t="shared" si="18"/>
        <v>cpgstin</v>
      </c>
      <c r="S217" s="11" t="str">
        <f t="shared" si="19"/>
        <v>abap.char(20);</v>
      </c>
      <c r="V217" t="str">
        <f t="shared" si="20"/>
        <v xml:space="preserve">  cpgstin                        : zcy_det_cpgstin;</v>
      </c>
      <c r="W217" t="str">
        <f>IFERROR(INDEX('[1]Resolved Data Elem'!$E$4:$E$1070,MATCH(J217,'[1]Resolved Data Elem'!$D$4:$D$1070,0)),"--")</f>
        <v>--</v>
      </c>
    </row>
    <row r="218" spans="2:23" x14ac:dyDescent="0.25">
      <c r="B218" s="22" t="s">
        <v>635</v>
      </c>
      <c r="C218" s="23"/>
      <c r="D218" s="23"/>
      <c r="E218" s="23"/>
      <c r="F218" s="23"/>
      <c r="G218" s="11"/>
      <c r="H218" t="s">
        <v>198</v>
      </c>
      <c r="I218" s="15" t="str">
        <f t="shared" si="21"/>
        <v>cptradename</v>
      </c>
      <c r="J218" s="11" t="str">
        <f t="shared" si="22"/>
        <v>zcy_det_cptradename</v>
      </c>
      <c r="K218" t="s">
        <v>198</v>
      </c>
      <c r="L218" s="17" t="s">
        <v>956</v>
      </c>
      <c r="M218" s="23"/>
      <c r="N218" s="23"/>
      <c r="O218" s="23"/>
      <c r="P218" s="11"/>
      <c r="Q218" t="s">
        <v>198</v>
      </c>
      <c r="R218" s="15" t="str">
        <f t="shared" si="18"/>
        <v>cptradename</v>
      </c>
      <c r="S218" s="11" t="str">
        <f t="shared" si="19"/>
        <v>abap.char(50);</v>
      </c>
      <c r="V218" t="str">
        <f t="shared" si="20"/>
        <v xml:space="preserve">  cptradename                    : zcy_det_cptradename;</v>
      </c>
      <c r="W218" t="str">
        <f>IFERROR(INDEX('[1]Resolved Data Elem'!$E$4:$E$1070,MATCH(J218,'[1]Resolved Data Elem'!$D$4:$D$1070,0)),"--")</f>
        <v>--</v>
      </c>
    </row>
    <row r="219" spans="2:23" x14ac:dyDescent="0.25">
      <c r="B219" s="22" t="s">
        <v>636</v>
      </c>
      <c r="C219" s="23"/>
      <c r="D219" s="23"/>
      <c r="E219" s="23"/>
      <c r="F219" s="23"/>
      <c r="G219" s="11"/>
      <c r="H219" t="s">
        <v>198</v>
      </c>
      <c r="I219" s="15" t="str">
        <f t="shared" si="21"/>
        <v>cplegalname</v>
      </c>
      <c r="J219" s="11" t="str">
        <f t="shared" si="22"/>
        <v>zcy_det_cplegalname</v>
      </c>
      <c r="K219" t="s">
        <v>198</v>
      </c>
      <c r="L219" s="17" t="s">
        <v>957</v>
      </c>
      <c r="M219" s="23"/>
      <c r="N219" s="23"/>
      <c r="O219" s="23"/>
      <c r="P219" s="11"/>
      <c r="Q219" t="s">
        <v>198</v>
      </c>
      <c r="R219" s="15" t="str">
        <f t="shared" si="18"/>
        <v>cplegalname</v>
      </c>
      <c r="S219" s="11" t="str">
        <f t="shared" si="19"/>
        <v>abap.char(50);</v>
      </c>
      <c r="V219" t="str">
        <f t="shared" si="20"/>
        <v xml:space="preserve">  cplegalname                    : zcy_det_cplegalname;</v>
      </c>
      <c r="W219" t="str">
        <f>IFERROR(INDEX('[1]Resolved Data Elem'!$E$4:$E$1070,MATCH(J219,'[1]Resolved Data Elem'!$D$4:$D$1070,0)),"--")</f>
        <v>--</v>
      </c>
    </row>
    <row r="220" spans="2:23" x14ac:dyDescent="0.25">
      <c r="B220" s="22" t="s">
        <v>637</v>
      </c>
      <c r="C220" s="23"/>
      <c r="D220" s="23"/>
      <c r="E220" s="23"/>
      <c r="F220" s="23"/>
      <c r="G220" s="11"/>
      <c r="H220" t="s">
        <v>198</v>
      </c>
      <c r="I220" s="15" t="str">
        <f t="shared" si="21"/>
        <v>cporiginaldocumentnumber</v>
      </c>
      <c r="J220" s="11" t="str">
        <f t="shared" si="22"/>
        <v>zcy_det_cporiginaldocumentnum</v>
      </c>
      <c r="K220" t="s">
        <v>198</v>
      </c>
      <c r="L220" s="17" t="s">
        <v>958</v>
      </c>
      <c r="M220" s="23"/>
      <c r="N220" s="23"/>
      <c r="O220" s="23"/>
      <c r="P220" s="11"/>
      <c r="Q220" t="s">
        <v>198</v>
      </c>
      <c r="R220" s="15" t="str">
        <f t="shared" si="18"/>
        <v>cporiginaldocumentnumber</v>
      </c>
      <c r="S220" s="11" t="str">
        <f t="shared" si="19"/>
        <v>abap.char(50);</v>
      </c>
      <c r="V220" t="str">
        <f t="shared" si="20"/>
        <v xml:space="preserve">  cporiginaldocumentnumber       : zcy_det_cporiginaldocumentnum;</v>
      </c>
      <c r="W220" t="str">
        <f>IFERROR(INDEX('[1]Resolved Data Elem'!$E$4:$E$1070,MATCH(J220,'[1]Resolved Data Elem'!$D$4:$D$1070,0)),"--")</f>
        <v>--</v>
      </c>
    </row>
    <row r="221" spans="2:23" x14ac:dyDescent="0.25">
      <c r="B221" s="22" t="s">
        <v>638</v>
      </c>
      <c r="C221" s="23"/>
      <c r="D221" s="23"/>
      <c r="E221" s="23"/>
      <c r="F221" s="23"/>
      <c r="G221" s="11"/>
      <c r="H221" t="s">
        <v>198</v>
      </c>
      <c r="I221" s="15" t="str">
        <f t="shared" si="21"/>
        <v>cporiginaldocumentdate</v>
      </c>
      <c r="J221" s="11" t="str">
        <f t="shared" si="22"/>
        <v>zcy_det_cporiginaldocumentdate</v>
      </c>
      <c r="K221" t="s">
        <v>198</v>
      </c>
      <c r="L221" s="17" t="s">
        <v>959</v>
      </c>
      <c r="M221" s="23"/>
      <c r="N221" s="23"/>
      <c r="O221" s="23"/>
      <c r="P221" s="11"/>
      <c r="Q221" t="s">
        <v>198</v>
      </c>
      <c r="R221" s="15" t="str">
        <f t="shared" si="18"/>
        <v>cporiginaldocumentdate</v>
      </c>
      <c r="S221" s="11" t="str">
        <f t="shared" si="19"/>
        <v>abap.char(50);</v>
      </c>
      <c r="V221" t="str">
        <f t="shared" si="20"/>
        <v xml:space="preserve">  cporiginaldocumentdate         : zcy_det_cporiginaldocumentdate;</v>
      </c>
      <c r="W221" t="str">
        <f>IFERROR(INDEX('[1]Resolved Data Elem'!$E$4:$E$1070,MATCH(J221,'[1]Resolved Data Elem'!$D$4:$D$1070,0)),"--")</f>
        <v>--</v>
      </c>
    </row>
    <row r="222" spans="2:23" x14ac:dyDescent="0.25">
      <c r="B222" s="22" t="s">
        <v>639</v>
      </c>
      <c r="C222" s="23"/>
      <c r="D222" s="23"/>
      <c r="E222" s="23"/>
      <c r="F222" s="23"/>
      <c r="G222" s="11"/>
      <c r="H222" t="s">
        <v>198</v>
      </c>
      <c r="I222" s="15" t="str">
        <f t="shared" si="21"/>
        <v>cpportcode</v>
      </c>
      <c r="J222" s="11" t="str">
        <f t="shared" si="22"/>
        <v>zcy_det_cpportcode</v>
      </c>
      <c r="K222" t="s">
        <v>198</v>
      </c>
      <c r="L222" s="17" t="s">
        <v>960</v>
      </c>
      <c r="M222" s="23"/>
      <c r="N222" s="23"/>
      <c r="O222" s="23"/>
      <c r="P222" s="11"/>
      <c r="Q222" t="s">
        <v>198</v>
      </c>
      <c r="R222" s="15" t="str">
        <f t="shared" si="18"/>
        <v>cpportcode</v>
      </c>
      <c r="S222" s="11" t="str">
        <f t="shared" si="19"/>
        <v>abap.char(50);</v>
      </c>
      <c r="V222" t="str">
        <f t="shared" si="20"/>
        <v xml:space="preserve">  cpportcode                     : zcy_det_cpportcode;</v>
      </c>
      <c r="W222" t="str">
        <f>IFERROR(INDEX('[1]Resolved Data Elem'!$E$4:$E$1070,MATCH(J222,'[1]Resolved Data Elem'!$D$4:$D$1070,0)),"--")</f>
        <v>--</v>
      </c>
    </row>
    <row r="223" spans="2:23" x14ac:dyDescent="0.25">
      <c r="B223" s="22" t="s">
        <v>640</v>
      </c>
      <c r="C223" s="23"/>
      <c r="D223" s="23"/>
      <c r="E223" s="23"/>
      <c r="F223" s="23"/>
      <c r="G223" s="11"/>
      <c r="H223" t="s">
        <v>198</v>
      </c>
      <c r="I223" s="15" t="str">
        <f t="shared" si="21"/>
        <v>cpdocumentnumber</v>
      </c>
      <c r="J223" s="11" t="str">
        <f t="shared" si="22"/>
        <v>zcy_det_cpdocumentnumber</v>
      </c>
      <c r="K223" t="s">
        <v>198</v>
      </c>
      <c r="L223" s="17" t="s">
        <v>961</v>
      </c>
      <c r="M223" s="23"/>
      <c r="N223" s="23"/>
      <c r="O223" s="23"/>
      <c r="P223" s="11"/>
      <c r="Q223" t="s">
        <v>198</v>
      </c>
      <c r="R223" s="15" t="str">
        <f t="shared" si="18"/>
        <v>cpdocumentnumber</v>
      </c>
      <c r="S223" s="11" t="str">
        <f t="shared" si="19"/>
        <v>abap.char(20);</v>
      </c>
      <c r="V223" t="str">
        <f t="shared" si="20"/>
        <v xml:space="preserve">  cpdocumentnumber               : zcy_det_cpdocumentnumber;</v>
      </c>
      <c r="W223" t="str">
        <f>IFERROR(INDEX('[1]Resolved Data Elem'!$E$4:$E$1070,MATCH(J223,'[1]Resolved Data Elem'!$D$4:$D$1070,0)),"--")</f>
        <v>--</v>
      </c>
    </row>
    <row r="224" spans="2:23" x14ac:dyDescent="0.25">
      <c r="B224" s="22" t="s">
        <v>641</v>
      </c>
      <c r="C224" s="23"/>
      <c r="D224" s="23"/>
      <c r="E224" s="23"/>
      <c r="F224" s="23"/>
      <c r="G224" s="11"/>
      <c r="H224" t="s">
        <v>198</v>
      </c>
      <c r="I224" s="15" t="str">
        <f t="shared" si="21"/>
        <v>cpdocumentdate</v>
      </c>
      <c r="J224" s="11" t="str">
        <f t="shared" si="22"/>
        <v>zcy_det_cpdocumentdate</v>
      </c>
      <c r="K224" t="s">
        <v>198</v>
      </c>
      <c r="L224" s="17" t="s">
        <v>962</v>
      </c>
      <c r="M224" s="23"/>
      <c r="N224" s="23"/>
      <c r="O224" s="23"/>
      <c r="P224" s="11"/>
      <c r="Q224" t="s">
        <v>198</v>
      </c>
      <c r="R224" s="15" t="str">
        <f t="shared" si="18"/>
        <v>cpdocumentdate</v>
      </c>
      <c r="S224" s="11" t="str">
        <f t="shared" si="19"/>
        <v>abap.char(50);</v>
      </c>
      <c r="V224" t="str">
        <f t="shared" si="20"/>
        <v xml:space="preserve">  cpdocumentdate                 : zcy_det_cpdocumentdate;</v>
      </c>
      <c r="W224" t="str">
        <f>IFERROR(INDEX('[1]Resolved Data Elem'!$E$4:$E$1070,MATCH(J224,'[1]Resolved Data Elem'!$D$4:$D$1070,0)),"--")</f>
        <v>--</v>
      </c>
    </row>
    <row r="225" spans="2:23" x14ac:dyDescent="0.25">
      <c r="B225" s="22" t="s">
        <v>642</v>
      </c>
      <c r="C225" s="23"/>
      <c r="D225" s="23"/>
      <c r="E225" s="23"/>
      <c r="F225" s="23"/>
      <c r="G225" s="11"/>
      <c r="H225" t="s">
        <v>198</v>
      </c>
      <c r="I225" s="15" t="str">
        <f t="shared" si="21"/>
        <v>cpvalue</v>
      </c>
      <c r="J225" s="11" t="str">
        <f t="shared" si="22"/>
        <v>zcy_det_cpvalue</v>
      </c>
      <c r="K225" t="s">
        <v>198</v>
      </c>
      <c r="L225" s="17" t="s">
        <v>963</v>
      </c>
      <c r="M225" s="23"/>
      <c r="N225" s="23"/>
      <c r="O225" s="23"/>
      <c r="P225" s="11"/>
      <c r="Q225" t="s">
        <v>198</v>
      </c>
      <c r="R225" s="15" t="str">
        <f t="shared" si="18"/>
        <v>cpvalue</v>
      </c>
      <c r="S225" s="11" t="str">
        <f t="shared" si="19"/>
        <v>abap.char(50);</v>
      </c>
      <c r="V225" t="str">
        <f t="shared" si="20"/>
        <v xml:space="preserve">  cpvalue                        : zcy_det_cpvalue;</v>
      </c>
      <c r="W225" t="str">
        <f>IFERROR(INDEX('[1]Resolved Data Elem'!$E$4:$E$1070,MATCH(J225,'[1]Resolved Data Elem'!$D$4:$D$1070,0)),"--")</f>
        <v>--</v>
      </c>
    </row>
    <row r="226" spans="2:23" x14ac:dyDescent="0.25">
      <c r="B226" s="22" t="s">
        <v>643</v>
      </c>
      <c r="C226" s="23"/>
      <c r="D226" s="23"/>
      <c r="E226" s="23"/>
      <c r="F226" s="23"/>
      <c r="G226" s="11"/>
      <c r="H226" t="s">
        <v>198</v>
      </c>
      <c r="I226" s="15" t="str">
        <f t="shared" si="21"/>
        <v>cppos</v>
      </c>
      <c r="J226" s="11" t="str">
        <f t="shared" si="22"/>
        <v>zcy_det_cppos</v>
      </c>
      <c r="K226" t="s">
        <v>198</v>
      </c>
      <c r="L226" s="17" t="s">
        <v>964</v>
      </c>
      <c r="M226" s="23"/>
      <c r="N226" s="23"/>
      <c r="O226" s="23"/>
      <c r="P226" s="11"/>
      <c r="Q226" t="s">
        <v>198</v>
      </c>
      <c r="R226" s="15" t="str">
        <f t="shared" si="18"/>
        <v>cppos</v>
      </c>
      <c r="S226" s="11" t="str">
        <f t="shared" si="19"/>
        <v>abap.char(2);</v>
      </c>
      <c r="V226" t="str">
        <f t="shared" si="20"/>
        <v xml:space="preserve">  cppos                          : zcy_det_cppos;</v>
      </c>
      <c r="W226" t="str">
        <f>IFERROR(INDEX('[1]Resolved Data Elem'!$E$4:$E$1070,MATCH(J226,'[1]Resolved Data Elem'!$D$4:$D$1070,0)),"--")</f>
        <v>--</v>
      </c>
    </row>
    <row r="227" spans="2:23" x14ac:dyDescent="0.25">
      <c r="B227" s="22" t="s">
        <v>644</v>
      </c>
      <c r="C227" s="23"/>
      <c r="D227" s="23"/>
      <c r="E227" s="23"/>
      <c r="F227" s="23"/>
      <c r="G227" s="11"/>
      <c r="H227" t="s">
        <v>198</v>
      </c>
      <c r="I227" s="15" t="str">
        <f t="shared" si="21"/>
        <v>cpreversecharge</v>
      </c>
      <c r="J227" s="11" t="str">
        <f t="shared" si="22"/>
        <v>zcy_det_cpreversecharge</v>
      </c>
      <c r="K227" t="s">
        <v>198</v>
      </c>
      <c r="L227" s="17" t="s">
        <v>965</v>
      </c>
      <c r="M227" s="23"/>
      <c r="N227" s="23"/>
      <c r="O227" s="23"/>
      <c r="P227" s="11"/>
      <c r="Q227" t="s">
        <v>198</v>
      </c>
      <c r="R227" s="15" t="str">
        <f t="shared" si="18"/>
        <v>cpreversecharge</v>
      </c>
      <c r="S227" s="11" t="str">
        <f t="shared" si="19"/>
        <v>abap.char(50);</v>
      </c>
      <c r="V227" t="str">
        <f t="shared" si="20"/>
        <v xml:space="preserve">  cpreversecharge                : zcy_det_cpreversecharge;</v>
      </c>
      <c r="W227" t="str">
        <f>IFERROR(INDEX('[1]Resolved Data Elem'!$E$4:$E$1070,MATCH(J227,'[1]Resolved Data Elem'!$D$4:$D$1070,0)),"--")</f>
        <v>--</v>
      </c>
    </row>
    <row r="228" spans="2:23" x14ac:dyDescent="0.25">
      <c r="B228" s="22" t="s">
        <v>645</v>
      </c>
      <c r="C228" s="23"/>
      <c r="D228" s="23"/>
      <c r="E228" s="23"/>
      <c r="F228" s="23"/>
      <c r="G228" s="11"/>
      <c r="H228" t="s">
        <v>198</v>
      </c>
      <c r="I228" s="15" t="str">
        <f t="shared" si="21"/>
        <v>cpdifferentialpercentage</v>
      </c>
      <c r="J228" s="11" t="str">
        <f t="shared" si="22"/>
        <v>zcy_det_cpdifferentialpercent</v>
      </c>
      <c r="K228" t="s">
        <v>198</v>
      </c>
      <c r="L228" s="17" t="s">
        <v>966</v>
      </c>
      <c r="M228" s="23"/>
      <c r="N228" s="23"/>
      <c r="O228" s="23"/>
      <c r="P228" s="11"/>
      <c r="Q228" t="s">
        <v>198</v>
      </c>
      <c r="R228" s="15" t="str">
        <f t="shared" si="18"/>
        <v>cpdifferentialpercentage</v>
      </c>
      <c r="S228" s="11" t="str">
        <f t="shared" si="19"/>
        <v>abap.char(50);</v>
      </c>
      <c r="V228" t="str">
        <f t="shared" si="20"/>
        <v xml:space="preserve">  cpdifferentialpercentage       : zcy_det_cpdifferentialpercent;</v>
      </c>
      <c r="W228" t="str">
        <f>IFERROR(INDEX('[1]Resolved Data Elem'!$E$4:$E$1070,MATCH(J228,'[1]Resolved Data Elem'!$D$4:$D$1070,0)),"--")</f>
        <v>--</v>
      </c>
    </row>
    <row r="229" spans="2:23" x14ac:dyDescent="0.25">
      <c r="B229" s="22" t="s">
        <v>646</v>
      </c>
      <c r="C229" s="23"/>
      <c r="D229" s="23"/>
      <c r="E229" s="23"/>
      <c r="F229" s="23"/>
      <c r="G229" s="11"/>
      <c r="H229" t="s">
        <v>198</v>
      </c>
      <c r="I229" s="15" t="str">
        <f t="shared" si="21"/>
        <v>cptransactiontype</v>
      </c>
      <c r="J229" s="11" t="str">
        <f t="shared" si="22"/>
        <v>zcy_det_cptransactiontype</v>
      </c>
      <c r="K229" t="s">
        <v>198</v>
      </c>
      <c r="L229" s="17" t="s">
        <v>967</v>
      </c>
      <c r="M229" s="23"/>
      <c r="N229" s="23"/>
      <c r="O229" s="23"/>
      <c r="P229" s="11"/>
      <c r="Q229" t="s">
        <v>198</v>
      </c>
      <c r="R229" s="15" t="str">
        <f t="shared" si="18"/>
        <v>cptransactiontype</v>
      </c>
      <c r="S229" s="11" t="str">
        <f t="shared" si="19"/>
        <v>abap.char(50);</v>
      </c>
      <c r="V229" t="str">
        <f t="shared" si="20"/>
        <v xml:space="preserve">  cptransactiontype              : zcy_det_cptransactiontype;</v>
      </c>
      <c r="W229" t="str">
        <f>IFERROR(INDEX('[1]Resolved Data Elem'!$E$4:$E$1070,MATCH(J229,'[1]Resolved Data Elem'!$D$4:$D$1070,0)),"--")</f>
        <v>--</v>
      </c>
    </row>
    <row r="230" spans="2:23" x14ac:dyDescent="0.25">
      <c r="B230" s="22" t="s">
        <v>647</v>
      </c>
      <c r="C230" s="23"/>
      <c r="D230" s="23"/>
      <c r="E230" s="23"/>
      <c r="F230" s="23"/>
      <c r="G230" s="11"/>
      <c r="H230" t="s">
        <v>198</v>
      </c>
      <c r="I230" s="15" t="str">
        <f t="shared" si="21"/>
        <v>cptaxpayertype</v>
      </c>
      <c r="J230" s="11" t="str">
        <f t="shared" si="22"/>
        <v>zcy_det_cptaxpayertype</v>
      </c>
      <c r="K230" t="s">
        <v>198</v>
      </c>
      <c r="L230" s="17" t="s">
        <v>968</v>
      </c>
      <c r="M230" s="23"/>
      <c r="N230" s="23"/>
      <c r="O230" s="23"/>
      <c r="P230" s="11"/>
      <c r="Q230" t="s">
        <v>198</v>
      </c>
      <c r="R230" s="15" t="str">
        <f t="shared" si="18"/>
        <v>cptaxpayertype</v>
      </c>
      <c r="S230" s="11" t="str">
        <f t="shared" si="19"/>
        <v>abap.char(50);</v>
      </c>
      <c r="V230" t="str">
        <f t="shared" si="20"/>
        <v xml:space="preserve">  cptaxpayertype                 : zcy_det_cptaxpayertype;</v>
      </c>
      <c r="W230" t="str">
        <f>IFERROR(INDEX('[1]Resolved Data Elem'!$E$4:$E$1070,MATCH(J230,'[1]Resolved Data Elem'!$D$4:$D$1070,0)),"--")</f>
        <v>--</v>
      </c>
    </row>
    <row r="231" spans="2:23" x14ac:dyDescent="0.25">
      <c r="B231" s="22" t="s">
        <v>648</v>
      </c>
      <c r="C231" s="23"/>
      <c r="D231" s="23"/>
      <c r="E231" s="23"/>
      <c r="F231" s="23"/>
      <c r="G231" s="11"/>
      <c r="H231" t="s">
        <v>198</v>
      </c>
      <c r="I231" s="15" t="str">
        <f t="shared" si="21"/>
        <v>cptaxablevalue</v>
      </c>
      <c r="J231" s="11" t="str">
        <f t="shared" si="22"/>
        <v>zcy_det_cptaxablevalue</v>
      </c>
      <c r="K231" t="s">
        <v>198</v>
      </c>
      <c r="L231" s="17" t="s">
        <v>969</v>
      </c>
      <c r="M231" s="23"/>
      <c r="N231" s="23"/>
      <c r="O231" s="23"/>
      <c r="P231" s="11"/>
      <c r="Q231" t="s">
        <v>198</v>
      </c>
      <c r="R231" s="15" t="str">
        <f t="shared" si="18"/>
        <v>cptaxablevalue</v>
      </c>
      <c r="S231" s="11" t="str">
        <f t="shared" si="19"/>
        <v>abap.char(50);</v>
      </c>
      <c r="V231" t="str">
        <f t="shared" si="20"/>
        <v xml:space="preserve">  cptaxablevalue                 : zcy_det_cptaxablevalue;</v>
      </c>
      <c r="W231" t="str">
        <f>IFERROR(INDEX('[1]Resolved Data Elem'!$E$4:$E$1070,MATCH(J231,'[1]Resolved Data Elem'!$D$4:$D$1070,0)),"--")</f>
        <v>--</v>
      </c>
    </row>
    <row r="232" spans="2:23" x14ac:dyDescent="0.25">
      <c r="B232" s="22" t="s">
        <v>649</v>
      </c>
      <c r="C232" s="23"/>
      <c r="D232" s="23"/>
      <c r="E232" s="23"/>
      <c r="F232" s="23"/>
      <c r="G232" s="11"/>
      <c r="H232" t="s">
        <v>198</v>
      </c>
      <c r="I232" s="15" t="str">
        <f t="shared" si="21"/>
        <v>cprate</v>
      </c>
      <c r="J232" s="11" t="str">
        <f t="shared" si="22"/>
        <v>zcy_det_cprate</v>
      </c>
      <c r="K232" t="s">
        <v>198</v>
      </c>
      <c r="L232" s="17" t="s">
        <v>970</v>
      </c>
      <c r="M232" s="23"/>
      <c r="N232" s="23"/>
      <c r="O232" s="23"/>
      <c r="P232" s="11"/>
      <c r="Q232" t="s">
        <v>198</v>
      </c>
      <c r="R232" s="15" t="str">
        <f t="shared" si="18"/>
        <v>cprate</v>
      </c>
      <c r="S232" s="11" t="str">
        <f t="shared" si="19"/>
        <v>abap.char(50);</v>
      </c>
      <c r="V232" t="str">
        <f t="shared" si="20"/>
        <v xml:space="preserve">  cprate                         : zcy_det_cprate;</v>
      </c>
      <c r="W232" t="str">
        <f>IFERROR(INDEX('[1]Resolved Data Elem'!$E$4:$E$1070,MATCH(J232,'[1]Resolved Data Elem'!$D$4:$D$1070,0)),"--")</f>
        <v>--</v>
      </c>
    </row>
    <row r="233" spans="2:23" x14ac:dyDescent="0.25">
      <c r="B233" s="22" t="s">
        <v>650</v>
      </c>
      <c r="C233" s="23"/>
      <c r="D233" s="23"/>
      <c r="E233" s="23"/>
      <c r="F233" s="23"/>
      <c r="G233" s="11"/>
      <c r="H233" t="s">
        <v>198</v>
      </c>
      <c r="I233" s="15" t="str">
        <f t="shared" si="21"/>
        <v>cpigstamount</v>
      </c>
      <c r="J233" s="11" t="str">
        <f t="shared" si="22"/>
        <v>zcy_det_cpigstamount</v>
      </c>
      <c r="K233" t="s">
        <v>198</v>
      </c>
      <c r="L233" s="17" t="s">
        <v>971</v>
      </c>
      <c r="M233" s="23"/>
      <c r="N233" s="23"/>
      <c r="O233" s="23"/>
      <c r="P233" s="11"/>
      <c r="R233" s="15" t="str">
        <f t="shared" si="18"/>
        <v>cpigstamount</v>
      </c>
      <c r="S233" s="11" t="str">
        <f t="shared" si="19"/>
        <v>abap.char(50);</v>
      </c>
      <c r="V233" t="str">
        <f t="shared" si="20"/>
        <v xml:space="preserve">  cpigstamount                   : zcy_det_cpigstamount;</v>
      </c>
      <c r="W233" t="str">
        <f>IFERROR(INDEX('[1]Resolved Data Elem'!$E$4:$E$1070,MATCH(J233,'[1]Resolved Data Elem'!$D$4:$D$1070,0)),"--")</f>
        <v>--</v>
      </c>
    </row>
    <row r="234" spans="2:23" x14ac:dyDescent="0.25">
      <c r="B234" s="22" t="s">
        <v>651</v>
      </c>
      <c r="C234" s="23"/>
      <c r="D234" s="23"/>
      <c r="E234" s="23"/>
      <c r="F234" s="23"/>
      <c r="G234" s="11"/>
      <c r="H234" t="s">
        <v>198</v>
      </c>
      <c r="I234" s="15" t="str">
        <f t="shared" si="21"/>
        <v>cpcgstamount</v>
      </c>
      <c r="J234" s="11" t="str">
        <f t="shared" si="22"/>
        <v>zcy_det_cpcgstamount</v>
      </c>
      <c r="K234" t="s">
        <v>198</v>
      </c>
      <c r="L234" s="17" t="s">
        <v>972</v>
      </c>
      <c r="M234" s="23"/>
      <c r="N234" s="23"/>
      <c r="O234" s="23"/>
      <c r="P234" s="11"/>
      <c r="R234" s="15" t="str">
        <f t="shared" si="18"/>
        <v>cpcgstamount</v>
      </c>
      <c r="S234" s="11" t="str">
        <f t="shared" si="19"/>
        <v>abap.char(50);</v>
      </c>
      <c r="V234" t="str">
        <f t="shared" si="20"/>
        <v xml:space="preserve">  cpcgstamount                   : zcy_det_cpcgstamount;</v>
      </c>
      <c r="W234" t="str">
        <f>IFERROR(INDEX('[1]Resolved Data Elem'!$E$4:$E$1070,MATCH(J234,'[1]Resolved Data Elem'!$D$4:$D$1070,0)),"--")</f>
        <v>--</v>
      </c>
    </row>
    <row r="235" spans="2:23" x14ac:dyDescent="0.25">
      <c r="B235" s="22" t="s">
        <v>652</v>
      </c>
      <c r="C235" s="23"/>
      <c r="D235" s="23"/>
      <c r="E235" s="23"/>
      <c r="F235" s="23"/>
      <c r="G235" s="11"/>
      <c r="H235" t="s">
        <v>198</v>
      </c>
      <c r="I235" s="15" t="str">
        <f t="shared" si="21"/>
        <v>cpsgstamount</v>
      </c>
      <c r="J235" s="11" t="str">
        <f t="shared" si="22"/>
        <v>zcy_det_cpsgstamount</v>
      </c>
      <c r="K235" t="s">
        <v>198</v>
      </c>
      <c r="L235" s="17" t="s">
        <v>973</v>
      </c>
      <c r="M235" s="23"/>
      <c r="N235" s="23"/>
      <c r="O235" s="23"/>
      <c r="P235" s="11"/>
      <c r="R235" s="15" t="str">
        <f t="shared" si="18"/>
        <v>cpsgstamount</v>
      </c>
      <c r="S235" s="11" t="str">
        <f t="shared" si="19"/>
        <v>abap.char(50);</v>
      </c>
      <c r="V235" t="str">
        <f t="shared" si="20"/>
        <v xml:space="preserve">  cpsgstamount                   : zcy_det_cpsgstamount;</v>
      </c>
      <c r="W235" t="str">
        <f>IFERROR(INDEX('[1]Resolved Data Elem'!$E$4:$E$1070,MATCH(J235,'[1]Resolved Data Elem'!$D$4:$D$1070,0)),"--")</f>
        <v>--</v>
      </c>
    </row>
    <row r="236" spans="2:23" x14ac:dyDescent="0.25">
      <c r="B236" s="22" t="s">
        <v>653</v>
      </c>
      <c r="C236" s="23"/>
      <c r="D236" s="23"/>
      <c r="E236" s="23"/>
      <c r="F236" s="23"/>
      <c r="G236" s="11"/>
      <c r="H236" t="s">
        <v>198</v>
      </c>
      <c r="I236" s="15" t="str">
        <f t="shared" si="21"/>
        <v>cpcessamount</v>
      </c>
      <c r="J236" s="11" t="str">
        <f t="shared" si="22"/>
        <v>zcy_det_cpcessamount</v>
      </c>
      <c r="K236" t="s">
        <v>198</v>
      </c>
      <c r="L236" s="17" t="s">
        <v>974</v>
      </c>
      <c r="M236" s="23"/>
      <c r="N236" s="23"/>
      <c r="O236" s="23"/>
      <c r="P236" s="11"/>
      <c r="R236" s="15" t="str">
        <f t="shared" si="18"/>
        <v>cpcessamount</v>
      </c>
      <c r="S236" s="11" t="str">
        <f t="shared" si="19"/>
        <v>abap.char(50);</v>
      </c>
      <c r="V236" t="str">
        <f t="shared" si="20"/>
        <v xml:space="preserve">  cpcessamount                   : zcy_det_cpcessamount;</v>
      </c>
      <c r="W236" t="str">
        <f>IFERROR(INDEX('[1]Resolved Data Elem'!$E$4:$E$1070,MATCH(J236,'[1]Resolved Data Elem'!$D$4:$D$1070,0)),"--")</f>
        <v>--</v>
      </c>
    </row>
    <row r="237" spans="2:23" x14ac:dyDescent="0.25">
      <c r="B237" s="22" t="s">
        <v>654</v>
      </c>
      <c r="C237" s="23"/>
      <c r="D237" s="23"/>
      <c r="E237" s="23"/>
      <c r="F237" s="23"/>
      <c r="G237" s="11"/>
      <c r="H237" t="s">
        <v>198</v>
      </c>
      <c r="I237" s="15" t="str">
        <f t="shared" si="21"/>
        <v>cpfilingstatus</v>
      </c>
      <c r="J237" s="11" t="str">
        <f t="shared" si="22"/>
        <v>zcy_det_cpfilingstatus</v>
      </c>
      <c r="K237" t="s">
        <v>198</v>
      </c>
      <c r="L237" s="17" t="s">
        <v>975</v>
      </c>
      <c r="M237" s="23"/>
      <c r="N237" s="23"/>
      <c r="O237" s="23"/>
      <c r="P237" s="11"/>
      <c r="R237" s="15" t="str">
        <f t="shared" si="18"/>
        <v>cpfilingstatus</v>
      </c>
      <c r="S237" s="11" t="str">
        <f t="shared" si="19"/>
        <v>abap.char(50);</v>
      </c>
      <c r="V237" t="str">
        <f t="shared" si="20"/>
        <v xml:space="preserve">  cpfilingstatus                 : zcy_det_cpfilingstatus;</v>
      </c>
      <c r="W237" t="str">
        <f>IFERROR(INDEX('[1]Resolved Data Elem'!$E$4:$E$1070,MATCH(J237,'[1]Resolved Data Elem'!$D$4:$D$1070,0)),"--")</f>
        <v>--</v>
      </c>
    </row>
    <row r="238" spans="2:23" x14ac:dyDescent="0.25">
      <c r="B238" s="22" t="s">
        <v>655</v>
      </c>
      <c r="C238" s="23"/>
      <c r="D238" s="23"/>
      <c r="E238" s="23"/>
      <c r="F238" s="23"/>
      <c r="G238" s="11"/>
      <c r="H238" t="s">
        <v>198</v>
      </c>
      <c r="I238" s="15" t="str">
        <f t="shared" si="21"/>
        <v>cpsuppliercancellationdate</v>
      </c>
      <c r="J238" s="11" t="str">
        <f t="shared" si="22"/>
        <v>zcy_det_cpsuppliercancellation</v>
      </c>
      <c r="K238" t="s">
        <v>198</v>
      </c>
      <c r="L238" s="17" t="s">
        <v>976</v>
      </c>
      <c r="M238" s="23"/>
      <c r="N238" s="23"/>
      <c r="O238" s="23"/>
      <c r="P238" s="11"/>
      <c r="R238" s="15" t="str">
        <f t="shared" si="18"/>
        <v>cpsuppliercancellationdate</v>
      </c>
      <c r="S238" s="11" t="str">
        <f t="shared" si="19"/>
        <v>abap.char(10);</v>
      </c>
      <c r="V238" t="str">
        <f t="shared" si="20"/>
        <v xml:space="preserve">  cpsuppliercancellationdate     : zcy_det_cpsuppliercancellation;</v>
      </c>
      <c r="W238" t="str">
        <f>IFERROR(INDEX('[1]Resolved Data Elem'!$E$4:$E$1070,MATCH(J238,'[1]Resolved Data Elem'!$D$4:$D$1070,0)),"--")</f>
        <v>--</v>
      </c>
    </row>
    <row r="239" spans="2:23" x14ac:dyDescent="0.25">
      <c r="B239" s="22" t="s">
        <v>656</v>
      </c>
      <c r="C239" s="23"/>
      <c r="D239" s="23"/>
      <c r="E239" s="23"/>
      <c r="F239" s="23"/>
      <c r="G239" s="11"/>
      <c r="H239" t="s">
        <v>198</v>
      </c>
      <c r="I239" s="15" t="str">
        <f t="shared" si="21"/>
        <v>cpfilingdate</v>
      </c>
      <c r="J239" s="11" t="str">
        <f t="shared" si="22"/>
        <v>zcy_det_cpfilingdate</v>
      </c>
      <c r="K239" t="s">
        <v>198</v>
      </c>
      <c r="L239" s="17" t="s">
        <v>977</v>
      </c>
      <c r="M239" s="23"/>
      <c r="N239" s="23"/>
      <c r="O239" s="23"/>
      <c r="P239" s="11"/>
      <c r="R239" s="15" t="str">
        <f t="shared" si="18"/>
        <v>cpfilingdate</v>
      </c>
      <c r="S239" s="11" t="str">
        <f t="shared" si="19"/>
        <v>abap.char(50);</v>
      </c>
      <c r="V239" t="str">
        <f t="shared" si="20"/>
        <v xml:space="preserve">  cpfilingdate                   : zcy_det_cpfilingdate;</v>
      </c>
      <c r="W239" t="str">
        <f>IFERROR(INDEX('[1]Resolved Data Elem'!$E$4:$E$1070,MATCH(J239,'[1]Resolved Data Elem'!$D$4:$D$1070,0)),"--")</f>
        <v>--</v>
      </c>
    </row>
    <row r="240" spans="2:23" x14ac:dyDescent="0.25">
      <c r="B240" s="22" t="s">
        <v>657</v>
      </c>
      <c r="C240" s="23"/>
      <c r="D240" s="23"/>
      <c r="E240" s="23"/>
      <c r="F240" s="23"/>
      <c r="G240" s="11"/>
      <c r="H240" t="s">
        <v>198</v>
      </c>
      <c r="I240" s="15" t="str">
        <f t="shared" si="21"/>
        <v>cpfilingreturnperiod</v>
      </c>
      <c r="J240" s="11" t="str">
        <f t="shared" si="22"/>
        <v>zcy_det_cpfilingreturnperiod</v>
      </c>
      <c r="K240" t="s">
        <v>198</v>
      </c>
      <c r="L240" s="17" t="s">
        <v>978</v>
      </c>
      <c r="M240" s="23"/>
      <c r="N240" s="23"/>
      <c r="O240" s="23"/>
      <c r="P240" s="11"/>
      <c r="R240" s="15" t="str">
        <f t="shared" si="18"/>
        <v>cpfilingreturnperiod</v>
      </c>
      <c r="S240" s="11" t="str">
        <f t="shared" si="19"/>
        <v>abap.char(6);</v>
      </c>
      <c r="V240" t="str">
        <f t="shared" si="20"/>
        <v xml:space="preserve">  cpfilingreturnperiod           : zcy_det_cpfilingreturnperiod;</v>
      </c>
      <c r="W240" t="str">
        <f>IFERROR(INDEX('[1]Resolved Data Elem'!$E$4:$E$1070,MATCH(J240,'[1]Resolved Data Elem'!$D$4:$D$1070,0)),"--")</f>
        <v>--</v>
      </c>
    </row>
    <row r="241" spans="2:23" x14ac:dyDescent="0.25">
      <c r="B241" s="22" t="s">
        <v>658</v>
      </c>
      <c r="C241" s="23"/>
      <c r="D241" s="23"/>
      <c r="E241" s="23"/>
      <c r="F241" s="23"/>
      <c r="G241" s="11"/>
      <c r="H241" t="s">
        <v>198</v>
      </c>
      <c r="I241" s="15" t="str">
        <f t="shared" si="21"/>
        <v>cpautodraftsource</v>
      </c>
      <c r="J241" s="11" t="str">
        <f t="shared" si="22"/>
        <v>zcy_det_cpautodraftsource</v>
      </c>
      <c r="K241" t="s">
        <v>198</v>
      </c>
      <c r="L241" s="17" t="s">
        <v>979</v>
      </c>
      <c r="M241" s="23"/>
      <c r="N241" s="23"/>
      <c r="O241" s="23"/>
      <c r="P241" s="11"/>
      <c r="R241" s="15" t="str">
        <f t="shared" si="18"/>
        <v>cpautodraftsource</v>
      </c>
      <c r="S241" s="11" t="str">
        <f t="shared" si="19"/>
        <v>abap.char(50);</v>
      </c>
      <c r="V241" t="str">
        <f t="shared" si="20"/>
        <v xml:space="preserve">  cpautodraftsource              : zcy_det_cpautodraftsource;</v>
      </c>
      <c r="W241" t="str">
        <f>IFERROR(INDEX('[1]Resolved Data Elem'!$E$4:$E$1070,MATCH(J241,'[1]Resolved Data Elem'!$D$4:$D$1070,0)),"--")</f>
        <v>--</v>
      </c>
    </row>
    <row r="242" spans="2:23" x14ac:dyDescent="0.25">
      <c r="B242" s="22" t="s">
        <v>659</v>
      </c>
      <c r="C242" s="23"/>
      <c r="D242" s="23"/>
      <c r="E242" s="23"/>
      <c r="F242" s="23"/>
      <c r="G242" s="11"/>
      <c r="H242" t="s">
        <v>198</v>
      </c>
      <c r="I242" s="15" t="str">
        <f t="shared" si="21"/>
        <v>cpirn</v>
      </c>
      <c r="J242" s="11" t="str">
        <f t="shared" si="22"/>
        <v>zcy_det_cpirn</v>
      </c>
      <c r="K242" t="s">
        <v>198</v>
      </c>
      <c r="L242" s="17" t="s">
        <v>980</v>
      </c>
      <c r="M242" s="23"/>
      <c r="N242" s="23"/>
      <c r="O242" s="23"/>
      <c r="P242" s="11"/>
      <c r="R242" s="15" t="str">
        <f t="shared" si="18"/>
        <v>cpirn</v>
      </c>
      <c r="S242" s="11" t="str">
        <f t="shared" si="19"/>
        <v>abap.char(64);</v>
      </c>
      <c r="V242" t="str">
        <f t="shared" si="20"/>
        <v xml:space="preserve">  cpirn                          : zcy_det_cpirn;</v>
      </c>
      <c r="W242" t="str">
        <f>IFERROR(INDEX('[1]Resolved Data Elem'!$E$4:$E$1070,MATCH(J242,'[1]Resolved Data Elem'!$D$4:$D$1070,0)),"--")</f>
        <v>--</v>
      </c>
    </row>
    <row r="243" spans="2:23" x14ac:dyDescent="0.25">
      <c r="B243" s="22" t="s">
        <v>660</v>
      </c>
      <c r="C243" s="23"/>
      <c r="D243" s="23"/>
      <c r="E243" s="23"/>
      <c r="F243" s="23"/>
      <c r="G243" s="11"/>
      <c r="H243" t="s">
        <v>198</v>
      </c>
      <c r="I243" s="15" t="str">
        <f t="shared" si="21"/>
        <v>cpirngenerationdate</v>
      </c>
      <c r="J243" s="11" t="str">
        <f t="shared" si="22"/>
        <v>zcy_det_cpirngenerationdate</v>
      </c>
      <c r="K243" t="s">
        <v>198</v>
      </c>
      <c r="L243" s="17" t="s">
        <v>981</v>
      </c>
      <c r="M243" s="23"/>
      <c r="N243" s="23"/>
      <c r="O243" s="23"/>
      <c r="P243" s="11"/>
      <c r="R243" s="15" t="str">
        <f t="shared" si="18"/>
        <v>cpirngenerationdate</v>
      </c>
      <c r="S243" s="11" t="str">
        <f t="shared" si="19"/>
        <v>abap.char(50);</v>
      </c>
      <c r="V243" t="str">
        <f t="shared" si="20"/>
        <v xml:space="preserve">  cpirngenerationdate            : zcy_det_cpirngenerationdate;</v>
      </c>
      <c r="W243" t="str">
        <f>IFERROR(INDEX('[1]Resolved Data Elem'!$E$4:$E$1070,MATCH(J243,'[1]Resolved Data Elem'!$D$4:$D$1070,0)),"--")</f>
        <v>--</v>
      </c>
    </row>
    <row r="244" spans="2:23" x14ac:dyDescent="0.25">
      <c r="B244" s="22" t="s">
        <v>661</v>
      </c>
      <c r="C244" s="23"/>
      <c r="D244" s="23"/>
      <c r="E244" s="23"/>
      <c r="F244" s="23"/>
      <c r="G244" s="11"/>
      <c r="H244" t="s">
        <v>198</v>
      </c>
      <c r="I244" s="15" t="str">
        <f t="shared" si="21"/>
        <v>cprefprecedingdocumentdetails</v>
      </c>
      <c r="J244" s="11" t="str">
        <f t="shared" si="22"/>
        <v>zcy_det_cprefprecedingdocument</v>
      </c>
      <c r="K244" t="s">
        <v>198</v>
      </c>
      <c r="L244" s="17" t="s">
        <v>982</v>
      </c>
      <c r="M244" s="23"/>
      <c r="N244" s="23"/>
      <c r="O244" s="23"/>
      <c r="P244" s="11"/>
      <c r="R244" s="15" t="str">
        <f t="shared" si="18"/>
        <v>cprefprecedingdocumentdetails</v>
      </c>
      <c r="S244" s="11" t="str">
        <f t="shared" si="19"/>
        <v>abap.char(50);</v>
      </c>
      <c r="V244" t="str">
        <f t="shared" si="20"/>
        <v xml:space="preserve">  cprefprecedingdocumentdetails  : zcy_det_cprefprecedingdocument;</v>
      </c>
      <c r="W244" t="str">
        <f>IFERROR(INDEX('[1]Resolved Data Elem'!$E$4:$E$1070,MATCH(J244,'[1]Resolved Data Elem'!$D$4:$D$1070,0)),"--")</f>
        <v>--</v>
      </c>
    </row>
    <row r="245" spans="2:23" x14ac:dyDescent="0.25">
      <c r="B245" s="22" t="s">
        <v>662</v>
      </c>
      <c r="C245" s="23"/>
      <c r="D245" s="23"/>
      <c r="E245" s="23"/>
      <c r="F245" s="23"/>
      <c r="G245" s="11"/>
      <c r="H245" t="s">
        <v>198</v>
      </c>
      <c r="I245" s="15" t="str">
        <f t="shared" si="21"/>
        <v>cpavailableingstr2b</v>
      </c>
      <c r="J245" s="11" t="str">
        <f t="shared" si="22"/>
        <v>zcy_det_cpavailableingstr2b</v>
      </c>
      <c r="K245" t="s">
        <v>198</v>
      </c>
      <c r="L245" s="17" t="s">
        <v>983</v>
      </c>
      <c r="M245" s="23"/>
      <c r="N245" s="23"/>
      <c r="O245" s="23"/>
      <c r="P245" s="11"/>
      <c r="R245" s="15" t="str">
        <f t="shared" si="18"/>
        <v>cpavailableingstr2b</v>
      </c>
      <c r="S245" s="11" t="str">
        <f t="shared" si="19"/>
        <v>abap.char(50);</v>
      </c>
      <c r="V245" t="str">
        <f t="shared" si="20"/>
        <v xml:space="preserve">  cpavailableingstr2b            : zcy_det_cpavailableingstr2b;</v>
      </c>
      <c r="W245" t="str">
        <f>IFERROR(INDEX('[1]Resolved Data Elem'!$E$4:$E$1070,MATCH(J245,'[1]Resolved Data Elem'!$D$4:$D$1070,0)),"--")</f>
        <v>--</v>
      </c>
    </row>
    <row r="246" spans="2:23" x14ac:dyDescent="0.25">
      <c r="B246" s="22" t="s">
        <v>663</v>
      </c>
      <c r="C246" s="23"/>
      <c r="D246" s="23"/>
      <c r="E246" s="23"/>
      <c r="F246" s="23"/>
      <c r="G246" s="11"/>
      <c r="H246" t="s">
        <v>198</v>
      </c>
      <c r="I246" s="15" t="str">
        <f t="shared" si="21"/>
        <v>cpgstr2breturnperiod</v>
      </c>
      <c r="J246" s="11" t="str">
        <f t="shared" si="22"/>
        <v>zcy_det_cpgstr2breturnperiod</v>
      </c>
      <c r="K246" t="s">
        <v>198</v>
      </c>
      <c r="L246" s="17" t="s">
        <v>984</v>
      </c>
      <c r="M246" s="23"/>
      <c r="N246" s="23"/>
      <c r="O246" s="23"/>
      <c r="P246" s="11"/>
      <c r="R246" s="15" t="str">
        <f t="shared" si="18"/>
        <v>cpgstr2breturnperiod</v>
      </c>
      <c r="S246" s="11" t="str">
        <f t="shared" si="19"/>
        <v>abap.char(50);</v>
      </c>
      <c r="V246" t="str">
        <f t="shared" si="20"/>
        <v xml:space="preserve">  cpgstr2breturnperiod           : zcy_det_cpgstr2breturnperiod;</v>
      </c>
      <c r="W246" t="str">
        <f>IFERROR(INDEX('[1]Resolved Data Elem'!$E$4:$E$1070,MATCH(J246,'[1]Resolved Data Elem'!$D$4:$D$1070,0)),"--")</f>
        <v>--</v>
      </c>
    </row>
    <row r="247" spans="2:23" x14ac:dyDescent="0.25">
      <c r="B247" s="22" t="s">
        <v>664</v>
      </c>
      <c r="C247" s="23"/>
      <c r="D247" s="23"/>
      <c r="E247" s="23"/>
      <c r="F247" s="23"/>
      <c r="G247" s="11"/>
      <c r="H247" t="s">
        <v>198</v>
      </c>
      <c r="I247" s="15" t="str">
        <f t="shared" si="21"/>
        <v>cpavailableingstr98a</v>
      </c>
      <c r="J247" s="11" t="str">
        <f t="shared" si="22"/>
        <v>zcy_det_cpavailableingstr98a</v>
      </c>
      <c r="K247" t="s">
        <v>198</v>
      </c>
      <c r="L247" s="17" t="s">
        <v>985</v>
      </c>
      <c r="M247" s="23"/>
      <c r="N247" s="23"/>
      <c r="O247" s="23"/>
      <c r="P247" s="11"/>
      <c r="R247" s="15" t="str">
        <f t="shared" si="18"/>
        <v>cpavailableingstr98a</v>
      </c>
      <c r="S247" s="11" t="str">
        <f t="shared" si="19"/>
        <v>abap.char(50);</v>
      </c>
      <c r="V247" t="str">
        <f t="shared" si="20"/>
        <v xml:space="preserve">  cpavailableingstr98a           : zcy_det_cpavailableingstr98a;</v>
      </c>
      <c r="W247" t="str">
        <f>IFERROR(INDEX('[1]Resolved Data Elem'!$E$4:$E$1070,MATCH(J247,'[1]Resolved Data Elem'!$D$4:$D$1070,0)),"--")</f>
        <v>--</v>
      </c>
    </row>
    <row r="248" spans="2:23" x14ac:dyDescent="0.25">
      <c r="B248" s="22" t="s">
        <v>665</v>
      </c>
      <c r="C248" s="23"/>
      <c r="D248" s="23"/>
      <c r="E248" s="23"/>
      <c r="F248" s="23"/>
      <c r="G248" s="11"/>
      <c r="H248" t="s">
        <v>198</v>
      </c>
      <c r="I248" s="15" t="str">
        <f t="shared" si="21"/>
        <v>cpitcavailability</v>
      </c>
      <c r="J248" s="11" t="str">
        <f t="shared" si="22"/>
        <v>zcy_det_cpitcavailability</v>
      </c>
      <c r="K248" t="s">
        <v>198</v>
      </c>
      <c r="L248" s="17" t="s">
        <v>986</v>
      </c>
      <c r="M248" s="23"/>
      <c r="N248" s="23"/>
      <c r="O248" s="23"/>
      <c r="P248" s="11"/>
      <c r="R248" s="15" t="str">
        <f t="shared" si="18"/>
        <v>cpitcavailability</v>
      </c>
      <c r="S248" s="11" t="str">
        <f t="shared" si="19"/>
        <v>abap.char(50);</v>
      </c>
      <c r="V248" t="str">
        <f t="shared" si="20"/>
        <v xml:space="preserve">  cpitcavailability              : zcy_det_cpitcavailability;</v>
      </c>
      <c r="W248" t="str">
        <f>IFERROR(INDEX('[1]Resolved Data Elem'!$E$4:$E$1070,MATCH(J248,'[1]Resolved Data Elem'!$D$4:$D$1070,0)),"--")</f>
        <v>--</v>
      </c>
    </row>
    <row r="249" spans="2:23" x14ac:dyDescent="0.25">
      <c r="B249" s="22" t="s">
        <v>666</v>
      </c>
      <c r="C249" s="23"/>
      <c r="D249" s="23"/>
      <c r="E249" s="23"/>
      <c r="F249" s="23"/>
      <c r="G249" s="11"/>
      <c r="H249" t="s">
        <v>198</v>
      </c>
      <c r="I249" s="15" t="str">
        <f t="shared" si="21"/>
        <v>cpitcunavailabilityreason</v>
      </c>
      <c r="J249" s="11" t="str">
        <f t="shared" si="22"/>
        <v>zcy_det_cpitcunavailabilityrea</v>
      </c>
      <c r="K249" t="s">
        <v>198</v>
      </c>
      <c r="L249" s="17" t="s">
        <v>987</v>
      </c>
      <c r="M249" s="23"/>
      <c r="N249" s="23"/>
      <c r="O249" s="23"/>
      <c r="P249" s="11"/>
      <c r="R249" s="15" t="str">
        <f t="shared" si="18"/>
        <v>cpitcunavailabilityreason</v>
      </c>
      <c r="S249" s="11" t="str">
        <f t="shared" si="19"/>
        <v>abap.char(50);</v>
      </c>
      <c r="V249" t="str">
        <f t="shared" si="20"/>
        <v xml:space="preserve">  cpitcunavailabilityreason      : zcy_det_cpitcunavailabilityrea;</v>
      </c>
      <c r="W249" t="str">
        <f>IFERROR(INDEX('[1]Resolved Data Elem'!$E$4:$E$1070,MATCH(J249,'[1]Resolved Data Elem'!$D$4:$D$1070,0)),"--")</f>
        <v>--</v>
      </c>
    </row>
    <row r="250" spans="2:23" x14ac:dyDescent="0.25">
      <c r="B250" s="22" t="s">
        <v>667</v>
      </c>
      <c r="C250" s="23"/>
      <c r="D250" s="23"/>
      <c r="E250" s="23"/>
      <c r="F250" s="23"/>
      <c r="G250" s="11"/>
      <c r="H250" t="s">
        <v>198</v>
      </c>
      <c r="I250" s="15" t="str">
        <f t="shared" si="21"/>
        <v>cpitcclaimmonth</v>
      </c>
      <c r="J250" s="11" t="str">
        <f t="shared" si="22"/>
        <v>zcy_det_cpitcclaimmonth</v>
      </c>
      <c r="K250" t="s">
        <v>198</v>
      </c>
      <c r="L250" s="17" t="s">
        <v>988</v>
      </c>
      <c r="M250" s="23"/>
      <c r="N250" s="23"/>
      <c r="O250" s="23"/>
      <c r="P250" s="11"/>
      <c r="R250" s="15" t="str">
        <f t="shared" si="18"/>
        <v>cpitcclaimmonth</v>
      </c>
      <c r="S250" s="11" t="str">
        <f t="shared" si="19"/>
        <v>abap.char(50);</v>
      </c>
      <c r="V250" t="str">
        <f t="shared" si="20"/>
        <v xml:space="preserve">  cpitcclaimmonth                : zcy_det_cpitcclaimmonth;</v>
      </c>
      <c r="W250" t="str">
        <f>IFERROR(INDEX('[1]Resolved Data Elem'!$E$4:$E$1070,MATCH(J250,'[1]Resolved Data Elem'!$D$4:$D$1070,0)),"--")</f>
        <v>--</v>
      </c>
    </row>
    <row r="251" spans="2:23" x14ac:dyDescent="0.25">
      <c r="B251" s="22" t="s">
        <v>668</v>
      </c>
      <c r="C251" s="23"/>
      <c r="D251" s="23"/>
      <c r="E251" s="23"/>
      <c r="F251" s="23"/>
      <c r="G251" s="11"/>
      <c r="H251" t="s">
        <v>198</v>
      </c>
      <c r="I251" s="15" t="str">
        <f t="shared" si="21"/>
        <v>cpreturnperiod</v>
      </c>
      <c r="J251" s="11" t="str">
        <f t="shared" si="22"/>
        <v>zcy_det_cpreturnperiod</v>
      </c>
      <c r="K251" t="s">
        <v>198</v>
      </c>
      <c r="L251" s="17" t="s">
        <v>989</v>
      </c>
      <c r="M251" s="23"/>
      <c r="N251" s="23"/>
      <c r="O251" s="23"/>
      <c r="P251" s="11"/>
      <c r="R251" s="15" t="str">
        <f t="shared" si="18"/>
        <v>cpreturnperiod</v>
      </c>
      <c r="S251" s="11" t="str">
        <f t="shared" si="19"/>
        <v>abap.char(50);</v>
      </c>
      <c r="V251" t="str">
        <f t="shared" si="20"/>
        <v xml:space="preserve">  cpreturnperiod                 : zcy_det_cpreturnperiod;</v>
      </c>
      <c r="W251" t="str">
        <f>IFERROR(INDEX('[1]Resolved Data Elem'!$E$4:$E$1070,MATCH(J251,'[1]Resolved Data Elem'!$D$4:$D$1070,0)),"--")</f>
        <v>--</v>
      </c>
    </row>
    <row r="252" spans="2:23" x14ac:dyDescent="0.25">
      <c r="B252" s="22" t="s">
        <v>669</v>
      </c>
      <c r="C252" s="23"/>
      <c r="D252" s="23"/>
      <c r="E252" s="23"/>
      <c r="F252" s="23"/>
      <c r="G252" s="11"/>
      <c r="H252" t="s">
        <v>198</v>
      </c>
      <c r="I252" s="15" t="str">
        <f t="shared" si="21"/>
        <v>cpisamendment</v>
      </c>
      <c r="J252" s="11" t="str">
        <f t="shared" si="22"/>
        <v>zcy_det_cpisamendment</v>
      </c>
      <c r="K252" t="s">
        <v>198</v>
      </c>
      <c r="L252" s="17" t="s">
        <v>990</v>
      </c>
      <c r="M252" s="23"/>
      <c r="N252" s="23"/>
      <c r="O252" s="23"/>
      <c r="P252" s="11"/>
      <c r="R252" s="15" t="str">
        <f t="shared" si="18"/>
        <v>cpisamendment</v>
      </c>
      <c r="S252" s="11" t="str">
        <f t="shared" si="19"/>
        <v>abap.char(50);</v>
      </c>
      <c r="V252" t="str">
        <f t="shared" si="20"/>
        <v xml:space="preserve">  cpisamendment                  : zcy_det_cpisamendment;</v>
      </c>
      <c r="W252" t="str">
        <f>IFERROR(INDEX('[1]Resolved Data Elem'!$E$4:$E$1070,MATCH(J252,'[1]Resolved Data Elem'!$D$4:$D$1070,0)),"--")</f>
        <v>--</v>
      </c>
    </row>
    <row r="253" spans="2:23" x14ac:dyDescent="0.25">
      <c r="B253" s="22" t="s">
        <v>670</v>
      </c>
      <c r="C253" s="23"/>
      <c r="D253" s="23"/>
      <c r="E253" s="23"/>
      <c r="F253" s="23"/>
      <c r="G253" s="11"/>
      <c r="H253" t="s">
        <v>198</v>
      </c>
      <c r="I253" s="15" t="str">
        <f t="shared" si="21"/>
        <v>cporiginalreturnperiod</v>
      </c>
      <c r="J253" s="11" t="str">
        <f t="shared" si="22"/>
        <v>zcy_det_cporiginalreturnperiod</v>
      </c>
      <c r="K253" t="s">
        <v>198</v>
      </c>
      <c r="L253" s="17" t="s">
        <v>991</v>
      </c>
      <c r="M253" s="23"/>
      <c r="N253" s="23"/>
      <c r="O253" s="23"/>
      <c r="P253" s="11"/>
      <c r="R253" s="15" t="str">
        <f t="shared" si="18"/>
        <v>cporiginalreturnperiod</v>
      </c>
      <c r="S253" s="11" t="str">
        <f t="shared" si="19"/>
        <v>abap.char(6);</v>
      </c>
      <c r="V253" t="str">
        <f t="shared" si="20"/>
        <v xml:space="preserve">  cporiginalreturnperiod         : zcy_det_cporiginalreturnperiod;</v>
      </c>
      <c r="W253" t="str">
        <f>IFERROR(INDEX('[1]Resolved Data Elem'!$E$4:$E$1070,MATCH(J253,'[1]Resolved Data Elem'!$D$4:$D$1070,0)),"--")</f>
        <v>--</v>
      </c>
    </row>
    <row r="254" spans="2:23" x14ac:dyDescent="0.25">
      <c r="B254" s="22" t="s">
        <v>671</v>
      </c>
      <c r="C254" s="23"/>
      <c r="D254" s="23"/>
      <c r="E254" s="23"/>
      <c r="F254" s="23"/>
      <c r="G254" s="11"/>
      <c r="H254" t="s">
        <v>198</v>
      </c>
      <c r="I254" s="15" t="str">
        <f t="shared" si="21"/>
        <v>cpamendedtype</v>
      </c>
      <c r="J254" s="11" t="str">
        <f t="shared" si="22"/>
        <v>zcy_det_cpamendedtype</v>
      </c>
      <c r="K254" t="s">
        <v>198</v>
      </c>
      <c r="L254" s="17" t="s">
        <v>992</v>
      </c>
      <c r="M254" s="23"/>
      <c r="N254" s="23"/>
      <c r="O254" s="23"/>
      <c r="P254" s="11"/>
      <c r="R254" s="15" t="str">
        <f t="shared" si="18"/>
        <v>cpamendedtype</v>
      </c>
      <c r="S254" s="11" t="str">
        <f t="shared" si="19"/>
        <v>abap.char(10);</v>
      </c>
      <c r="V254" t="str">
        <f t="shared" si="20"/>
        <v xml:space="preserve">  cpamendedtype                  : zcy_det_cpamendedtype;</v>
      </c>
      <c r="W254" t="str">
        <f>IFERROR(INDEX('[1]Resolved Data Elem'!$E$4:$E$1070,MATCH(J254,'[1]Resolved Data Elem'!$D$4:$D$1070,0)),"--")</f>
        <v>--</v>
      </c>
    </row>
    <row r="255" spans="2:23" x14ac:dyDescent="0.25">
      <c r="B255" s="22" t="s">
        <v>113</v>
      </c>
      <c r="C255" s="23"/>
      <c r="D255" s="23"/>
      <c r="E255" s="23"/>
      <c r="F255" s="23"/>
      <c r="G255" s="11"/>
      <c r="H255" t="s">
        <v>198</v>
      </c>
      <c r="I255" s="15" t="str">
        <f t="shared" si="21"/>
        <v>@Semantics.amount.currencyCode</v>
      </c>
      <c r="J255" s="11" t="str">
        <f t="shared" si="22"/>
        <v>'vbak.waerk'</v>
      </c>
      <c r="K255" t="s">
        <v>198</v>
      </c>
      <c r="L255" s="10" t="s">
        <v>857</v>
      </c>
      <c r="M255" s="23"/>
      <c r="N255" s="23"/>
      <c r="O255" s="23"/>
      <c r="P255" s="11"/>
      <c r="R255" s="15" t="str">
        <f t="shared" si="18"/>
        <v>@Semantics.amount.currencyCode</v>
      </c>
      <c r="S255" s="11" t="str">
        <f t="shared" si="19"/>
        <v>'vbak.waerk'</v>
      </c>
      <c r="V255" t="str">
        <f t="shared" si="20"/>
        <v xml:space="preserve">  @Semantics.amount.currencyCode : 'vbak.waerk'</v>
      </c>
      <c r="W255" t="str">
        <f>IFERROR(INDEX('[1]Resolved Data Elem'!$E$4:$E$1070,MATCH(J255,'[1]Resolved Data Elem'!$D$4:$D$1070,0)),"--")</f>
        <v>--</v>
      </c>
    </row>
    <row r="256" spans="2:23" x14ac:dyDescent="0.25">
      <c r="B256" s="22" t="s">
        <v>672</v>
      </c>
      <c r="C256" s="23"/>
      <c r="D256" s="23"/>
      <c r="E256" s="23"/>
      <c r="F256" s="23"/>
      <c r="G256" s="11"/>
      <c r="H256" t="s">
        <v>198</v>
      </c>
      <c r="I256" s="15" t="str">
        <f t="shared" si="21"/>
        <v>valuediff</v>
      </c>
      <c r="J256" s="11" t="str">
        <f t="shared" si="22"/>
        <v>zcy_det_valuediff</v>
      </c>
      <c r="K256" t="s">
        <v>198</v>
      </c>
      <c r="L256" s="17" t="s">
        <v>993</v>
      </c>
      <c r="M256" s="23"/>
      <c r="N256" s="23"/>
      <c r="O256" s="23"/>
      <c r="P256" s="11"/>
      <c r="R256" s="15" t="str">
        <f t="shared" si="18"/>
        <v>valuediff</v>
      </c>
      <c r="S256" s="11" t="str">
        <f t="shared" si="19"/>
        <v>abap.curr(13,2);</v>
      </c>
      <c r="V256" t="str">
        <f t="shared" si="20"/>
        <v xml:space="preserve">  valuediff                      : zcy_det_valuediff;</v>
      </c>
      <c r="W256" t="str">
        <f>IFERROR(INDEX('[1]Resolved Data Elem'!$E$4:$E$1070,MATCH(J256,'[1]Resolved Data Elem'!$D$4:$D$1070,0)),"--")</f>
        <v>--</v>
      </c>
    </row>
    <row r="257" spans="2:23" x14ac:dyDescent="0.25">
      <c r="B257" s="22" t="s">
        <v>113</v>
      </c>
      <c r="C257" s="23"/>
      <c r="D257" s="23"/>
      <c r="E257" s="23"/>
      <c r="F257" s="23"/>
      <c r="G257" s="11"/>
      <c r="H257" t="s">
        <v>198</v>
      </c>
      <c r="I257" s="15" t="str">
        <f t="shared" si="21"/>
        <v>@Semantics.amount.currencyCode</v>
      </c>
      <c r="J257" s="11" t="str">
        <f t="shared" si="22"/>
        <v>'vbak.waerk'</v>
      </c>
      <c r="K257" t="s">
        <v>198</v>
      </c>
      <c r="L257" s="10" t="s">
        <v>857</v>
      </c>
      <c r="M257" s="23"/>
      <c r="N257" s="23"/>
      <c r="O257" s="23"/>
      <c r="P257" s="11"/>
      <c r="R257" s="15" t="str">
        <f t="shared" si="18"/>
        <v>@Semantics.amount.currencyCode</v>
      </c>
      <c r="S257" s="11" t="str">
        <f t="shared" si="19"/>
        <v>'vbak.waerk'</v>
      </c>
      <c r="V257" t="str">
        <f t="shared" si="20"/>
        <v xml:space="preserve">  @Semantics.amount.currencyCode : 'vbak.waerk'</v>
      </c>
      <c r="W257" t="str">
        <f>IFERROR(INDEX('[1]Resolved Data Elem'!$E$4:$E$1070,MATCH(J257,'[1]Resolved Data Elem'!$D$4:$D$1070,0)),"--")</f>
        <v>--</v>
      </c>
    </row>
    <row r="258" spans="2:23" x14ac:dyDescent="0.25">
      <c r="B258" s="22" t="s">
        <v>673</v>
      </c>
      <c r="C258" s="23"/>
      <c r="D258" s="23"/>
      <c r="E258" s="23"/>
      <c r="F258" s="23"/>
      <c r="G258" s="11"/>
      <c r="H258" t="s">
        <v>198</v>
      </c>
      <c r="I258" s="15" t="str">
        <f t="shared" si="21"/>
        <v>taxablediff</v>
      </c>
      <c r="J258" s="11" t="str">
        <f t="shared" si="22"/>
        <v>zcy_det_taxablediff</v>
      </c>
      <c r="K258" t="s">
        <v>198</v>
      </c>
      <c r="L258" s="17" t="s">
        <v>994</v>
      </c>
      <c r="M258" s="23"/>
      <c r="N258" s="23"/>
      <c r="O258" s="23"/>
      <c r="P258" s="11"/>
      <c r="R258" s="15" t="str">
        <f t="shared" si="18"/>
        <v>taxablediff</v>
      </c>
      <c r="S258" s="11" t="str">
        <f t="shared" si="19"/>
        <v>abap.curr(13,2);</v>
      </c>
      <c r="V258" t="str">
        <f t="shared" si="20"/>
        <v xml:space="preserve">  taxablediff                    : zcy_det_taxablediff;</v>
      </c>
      <c r="W258" t="str">
        <f>IFERROR(INDEX('[1]Resolved Data Elem'!$E$4:$E$1070,MATCH(J258,'[1]Resolved Data Elem'!$D$4:$D$1070,0)),"--")</f>
        <v>--</v>
      </c>
    </row>
    <row r="259" spans="2:23" x14ac:dyDescent="0.25">
      <c r="B259" s="22" t="s">
        <v>113</v>
      </c>
      <c r="C259" s="23"/>
      <c r="D259" s="23"/>
      <c r="E259" s="23"/>
      <c r="F259" s="23"/>
      <c r="G259" s="11"/>
      <c r="H259" t="s">
        <v>198</v>
      </c>
      <c r="I259" s="15" t="str">
        <f t="shared" si="21"/>
        <v>@Semantics.amount.currencyCode</v>
      </c>
      <c r="J259" s="11" t="str">
        <f t="shared" si="22"/>
        <v>'vbak.waerk'</v>
      </c>
      <c r="K259" t="s">
        <v>198</v>
      </c>
      <c r="L259" s="10" t="s">
        <v>857</v>
      </c>
      <c r="M259" s="23"/>
      <c r="N259" s="23"/>
      <c r="O259" s="23"/>
      <c r="P259" s="11"/>
      <c r="R259" s="15" t="str">
        <f t="shared" si="18"/>
        <v>@Semantics.amount.currencyCode</v>
      </c>
      <c r="S259" s="11" t="str">
        <f t="shared" si="19"/>
        <v>'vbak.waerk'</v>
      </c>
      <c r="V259" t="str">
        <f t="shared" si="20"/>
        <v xml:space="preserve">  @Semantics.amount.currencyCode : 'vbak.waerk'</v>
      </c>
      <c r="W259" t="str">
        <f>IFERROR(INDEX('[1]Resolved Data Elem'!$E$4:$E$1070,MATCH(J259,'[1]Resolved Data Elem'!$D$4:$D$1070,0)),"--")</f>
        <v>--</v>
      </c>
    </row>
    <row r="260" spans="2:23" x14ac:dyDescent="0.25">
      <c r="B260" s="22" t="s">
        <v>674</v>
      </c>
      <c r="C260" s="23"/>
      <c r="D260" s="23"/>
      <c r="E260" s="23"/>
      <c r="F260" s="23"/>
      <c r="G260" s="11"/>
      <c r="H260" t="s">
        <v>198</v>
      </c>
      <c r="I260" s="15" t="str">
        <f t="shared" si="21"/>
        <v>taxdiff</v>
      </c>
      <c r="J260" s="11" t="str">
        <f t="shared" si="22"/>
        <v>zcy_det_taxdiff</v>
      </c>
      <c r="K260" t="s">
        <v>198</v>
      </c>
      <c r="L260" s="17" t="s">
        <v>995</v>
      </c>
      <c r="M260" s="23"/>
      <c r="N260" s="23"/>
      <c r="O260" s="23"/>
      <c r="P260" s="11"/>
      <c r="R260" s="15" t="str">
        <f t="shared" si="18"/>
        <v>taxdiff</v>
      </c>
      <c r="S260" s="11" t="str">
        <f t="shared" si="19"/>
        <v>abap.curr(13,2);</v>
      </c>
      <c r="V260" t="str">
        <f t="shared" si="20"/>
        <v xml:space="preserve">  taxdiff                        : zcy_det_taxdiff;</v>
      </c>
      <c r="W260" t="str">
        <f>IFERROR(INDEX('[1]Resolved Data Elem'!$E$4:$E$1070,MATCH(J260,'[1]Resolved Data Elem'!$D$4:$D$1070,0)),"--")</f>
        <v>--</v>
      </c>
    </row>
    <row r="261" spans="2:23" x14ac:dyDescent="0.25">
      <c r="B261" s="22" t="s">
        <v>675</v>
      </c>
      <c r="C261" s="23"/>
      <c r="D261" s="23"/>
      <c r="E261" s="23"/>
      <c r="F261" s="23"/>
      <c r="G261" s="11"/>
      <c r="H261" t="s">
        <v>198</v>
      </c>
      <c r="I261" s="15" t="str">
        <f t="shared" si="21"/>
        <v>reason</v>
      </c>
      <c r="J261" s="11" t="str">
        <f t="shared" si="22"/>
        <v>zcy_det_reason</v>
      </c>
      <c r="K261" t="s">
        <v>198</v>
      </c>
      <c r="L261" s="17" t="s">
        <v>996</v>
      </c>
      <c r="M261" s="23"/>
      <c r="N261" s="23"/>
      <c r="O261" s="23"/>
      <c r="P261" s="11"/>
      <c r="R261" s="15" t="str">
        <f t="shared" si="18"/>
        <v>reason</v>
      </c>
      <c r="S261" s="11" t="str">
        <f t="shared" si="19"/>
        <v>abap.char(200);</v>
      </c>
      <c r="V261" t="str">
        <f t="shared" si="20"/>
        <v xml:space="preserve">  reason                         : zcy_det_reason;</v>
      </c>
      <c r="W261" t="str">
        <f>IFERROR(INDEX('[1]Resolved Data Elem'!$E$4:$E$1070,MATCH(J261,'[1]Resolved Data Elem'!$D$4:$D$1070,0)),"--")</f>
        <v>--</v>
      </c>
    </row>
    <row r="262" spans="2:23" x14ac:dyDescent="0.25">
      <c r="B262" s="22" t="s">
        <v>676</v>
      </c>
      <c r="C262" s="23"/>
      <c r="D262" s="23"/>
      <c r="E262" s="23"/>
      <c r="F262" s="23"/>
      <c r="G262" s="11"/>
      <c r="H262" t="s">
        <v>198</v>
      </c>
      <c r="I262" s="15" t="str">
        <f t="shared" si="21"/>
        <v>rec_date</v>
      </c>
      <c r="J262" s="11" t="str">
        <f t="shared" si="22"/>
        <v>datum</v>
      </c>
      <c r="K262" t="s">
        <v>198</v>
      </c>
      <c r="L262" s="17" t="s">
        <v>997</v>
      </c>
      <c r="M262" s="23"/>
      <c r="N262" s="23"/>
      <c r="O262" s="23"/>
      <c r="P262" s="11"/>
      <c r="R262" s="15" t="str">
        <f t="shared" si="18"/>
        <v>rec_date</v>
      </c>
      <c r="S262" s="11" t="str">
        <f t="shared" si="19"/>
        <v>datum;</v>
      </c>
      <c r="V262" t="str">
        <f t="shared" si="20"/>
        <v xml:space="preserve">  rec_date                       : datum;</v>
      </c>
      <c r="W262" t="str">
        <f>IFERROR(INDEX('[1]Resolved Data Elem'!$E$4:$E$1070,MATCH(J262,'[1]Resolved Data Elem'!$D$4:$D$1070,0)),"--")</f>
        <v>--</v>
      </c>
    </row>
    <row r="263" spans="2:23" x14ac:dyDescent="0.25">
      <c r="B263" s="22" t="s">
        <v>677</v>
      </c>
      <c r="C263" s="23"/>
      <c r="D263" s="23"/>
      <c r="E263" s="23"/>
      <c r="F263" s="23"/>
      <c r="G263" s="11"/>
      <c r="H263" t="s">
        <v>198</v>
      </c>
      <c r="I263" s="15" t="str">
        <f t="shared" si="21"/>
        <v>rec_time</v>
      </c>
      <c r="J263" s="11" t="str">
        <f t="shared" si="22"/>
        <v>uzeit</v>
      </c>
      <c r="K263" t="s">
        <v>198</v>
      </c>
      <c r="L263" s="17" t="s">
        <v>998</v>
      </c>
      <c r="M263" s="23"/>
      <c r="N263" s="23"/>
      <c r="O263" s="23"/>
      <c r="P263" s="11"/>
      <c r="R263" s="15" t="str">
        <f t="shared" si="18"/>
        <v>rec_time</v>
      </c>
      <c r="S263" s="11" t="str">
        <f t="shared" si="19"/>
        <v>uzeit;</v>
      </c>
      <c r="V263" t="str">
        <f t="shared" si="20"/>
        <v xml:space="preserve">  rec_time                       : uzeit;</v>
      </c>
      <c r="W263" t="str">
        <f>IFERROR(INDEX('[1]Resolved Data Elem'!$E$4:$E$1070,MATCH(J263,'[1]Resolved Data Elem'!$D$4:$D$1070,0)),"--")</f>
        <v>--</v>
      </c>
    </row>
    <row r="264" spans="2:23" x14ac:dyDescent="0.25">
      <c r="B264" s="22" t="s">
        <v>678</v>
      </c>
      <c r="C264" s="23"/>
      <c r="D264" s="23"/>
      <c r="E264" s="23"/>
      <c r="F264" s="23"/>
      <c r="G264" s="11"/>
      <c r="H264" t="s">
        <v>198</v>
      </c>
      <c r="I264" s="15" t="str">
        <f t="shared" si="21"/>
        <v>p_pbf</v>
      </c>
      <c r="J264" s="11" t="str">
        <f t="shared" si="22"/>
        <v>abap_boolean</v>
      </c>
      <c r="K264" t="s">
        <v>198</v>
      </c>
      <c r="L264" s="17" t="s">
        <v>999</v>
      </c>
      <c r="M264" s="23"/>
      <c r="N264" s="23"/>
      <c r="O264" s="23"/>
      <c r="P264" s="11"/>
      <c r="R264" s="15" t="str">
        <f t="shared" si="18"/>
        <v>p_pbf</v>
      </c>
      <c r="S264" s="11" t="str">
        <f t="shared" si="19"/>
        <v>abap_boolean;</v>
      </c>
      <c r="V264" t="str">
        <f t="shared" si="20"/>
        <v xml:space="preserve">  p_pbf                          : abap_boolean;</v>
      </c>
      <c r="W264" t="str">
        <f>IFERROR(INDEX('[1]Resolved Data Elem'!$E$4:$E$1070,MATCH(J264,'[1]Resolved Data Elem'!$D$4:$D$1070,0)),"--")</f>
        <v>--</v>
      </c>
    </row>
    <row r="265" spans="2:23" x14ac:dyDescent="0.25">
      <c r="B265" s="22" t="s">
        <v>679</v>
      </c>
      <c r="C265" s="23"/>
      <c r="D265" s="23"/>
      <c r="E265" s="23"/>
      <c r="F265" s="23"/>
      <c r="G265" s="11"/>
      <c r="H265" t="s">
        <v>198</v>
      </c>
      <c r="I265" s="15" t="str">
        <f t="shared" si="21"/>
        <v>p_jv</v>
      </c>
      <c r="J265" s="11" t="str">
        <f t="shared" si="22"/>
        <v>abap_boolean</v>
      </c>
      <c r="K265" t="s">
        <v>198</v>
      </c>
      <c r="L265" s="17" t="s">
        <v>1000</v>
      </c>
      <c r="M265" s="23"/>
      <c r="N265" s="23"/>
      <c r="O265" s="23"/>
      <c r="P265" s="11"/>
      <c r="R265" s="15" t="str">
        <f t="shared" si="18"/>
        <v>p_jv</v>
      </c>
      <c r="S265" s="11" t="str">
        <f t="shared" si="19"/>
        <v>abap_boolean;</v>
      </c>
      <c r="V265" t="str">
        <f t="shared" si="20"/>
        <v xml:space="preserve">  p_jv                           : abap_boolean;</v>
      </c>
      <c r="W265" t="str">
        <f>IFERROR(INDEX('[1]Resolved Data Elem'!$E$4:$E$1070,MATCH(J265,'[1]Resolved Data Elem'!$D$4:$D$1070,0)),"--")</f>
        <v>--</v>
      </c>
    </row>
    <row r="266" spans="2:23" x14ac:dyDescent="0.25">
      <c r="B266" s="22" t="s">
        <v>680</v>
      </c>
      <c r="C266" s="23"/>
      <c r="D266" s="23"/>
      <c r="E266" s="23"/>
      <c r="F266" s="23"/>
      <c r="G266" s="11"/>
      <c r="H266" t="s">
        <v>198</v>
      </c>
      <c r="I266" s="15" t="str">
        <f t="shared" si="21"/>
        <v>p_dbf</v>
      </c>
      <c r="J266" s="11" t="str">
        <f t="shared" si="22"/>
        <v>abap_boolean</v>
      </c>
      <c r="K266" t="s">
        <v>198</v>
      </c>
      <c r="L266" s="17" t="s">
        <v>1001</v>
      </c>
      <c r="M266" s="23"/>
      <c r="N266" s="23"/>
      <c r="O266" s="23"/>
      <c r="P266" s="11"/>
      <c r="R266" s="15" t="str">
        <f t="shared" ref="R266:R267" si="23">TRIM(SUBSTITUTE(MID(L266,1,FIND(":",L266)-1),"key",""))</f>
        <v>p_dbf</v>
      </c>
      <c r="S266" s="11" t="str">
        <f t="shared" ref="S266:S267" si="24">TRIM(MID(L266,FIND(":",L266)+1,LEN(L266)))</f>
        <v>abap_boolean;</v>
      </c>
      <c r="V266" t="str">
        <f t="shared" ref="V266:V267" si="25">IF(OR(ISERROR(W266),W266="--"),B266,IF(ISNUMBER(SEARCH("@",I266)),B266,I266&amp;"  :  "&amp;IF(W266="",J266,W266)))</f>
        <v xml:space="preserve">  p_dbf                          : abap_boolean;</v>
      </c>
      <c r="W266" t="str">
        <f>IFERROR(INDEX('[1]Resolved Data Elem'!$E$4:$E$1070,MATCH(J266,'[1]Resolved Data Elem'!$D$4:$D$1070,0)),"--")</f>
        <v>--</v>
      </c>
    </row>
    <row r="267" spans="2:23" ht="15.75" thickBot="1" x14ac:dyDescent="0.3">
      <c r="B267" s="26" t="s">
        <v>6</v>
      </c>
      <c r="C267" s="19"/>
      <c r="D267" s="19"/>
      <c r="E267" s="19"/>
      <c r="F267" s="19"/>
      <c r="G267" s="20"/>
      <c r="H267" t="s">
        <v>198</v>
      </c>
      <c r="I267" s="15" t="e">
        <f t="shared" ref="I267" si="26">IF(B267="","",TRIM(MID(B267,1,FIND(":",B267)-1)))</f>
        <v>#VALUE!</v>
      </c>
      <c r="J267" s="11" t="e">
        <f t="shared" ref="J267" si="27">IF(B267="","",TRIM(SUBSTITUTE(SUBSTITUTE(TRIM(MID(B267,FIND(":",B267)+1,LEN(B267))),";",""),"not null","")))</f>
        <v>#VALUE!</v>
      </c>
      <c r="L267" s="18" t="s">
        <v>6</v>
      </c>
      <c r="M267" s="19"/>
      <c r="N267" s="19"/>
      <c r="O267" s="19"/>
      <c r="P267" s="20"/>
      <c r="R267" s="15" t="e">
        <f t="shared" si="23"/>
        <v>#VALUE!</v>
      </c>
      <c r="S267" s="11" t="e">
        <f t="shared" si="24"/>
        <v>#VALUE!</v>
      </c>
      <c r="V267" t="str">
        <f t="shared" si="25"/>
        <v>}</v>
      </c>
      <c r="W267" t="str">
        <f>IFERROR(INDEX('[1]Resolved Data Elem'!$E$4:$E$1070,MATCH(J267,'[1]Resolved Data Elem'!$D$4:$D$1070,0)),"--")</f>
        <v>--</v>
      </c>
    </row>
  </sheetData>
  <mergeCells count="3">
    <mergeCell ref="I2:J6"/>
    <mergeCell ref="R2:S6"/>
    <mergeCell ref="V2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Z2A_T_PAY_BLOCK</vt:lpstr>
      <vt:lpstr>Resolved DataType</vt:lpstr>
      <vt:lpstr>ZCY_TAB_RRP_E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2026-10-02T12:35:04Z</dcterms:created>
  <dcterms:modified xsi:type="dcterms:W3CDTF">2026-10-21T18:52:00Z</dcterms:modified>
</cp:coreProperties>
</file>