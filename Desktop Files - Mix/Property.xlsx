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2DCBEED-A403-49AD-9E81-14464471B776}" xr6:coauthVersionLast="47" xr6:coauthVersionMax="47" xr10:uidLastSave="{00000000-0000-0000-0000-000000000000}"/>
  <bookViews>
    <workbookView xWindow="-120" yWindow="-120" windowWidth="24240" windowHeight="13020" xr2:uid="{F19656E7-EDF5-439F-9F78-9085DBCD13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" l="1"/>
  <c r="E5" i="1"/>
  <c r="E8" i="1" s="1"/>
  <c r="E6" i="1" l="1"/>
  <c r="E7" i="1"/>
  <c r="E9" i="1"/>
  <c r="E11" i="1" l="1"/>
  <c r="J2" i="1" s="1"/>
</calcChain>
</file>

<file path=xl/sharedStrings.xml><?xml version="1.0" encoding="utf-8"?>
<sst xmlns="http://schemas.openxmlformats.org/spreadsheetml/2006/main" count="23" uniqueCount="22">
  <si>
    <t>Plot Size</t>
  </si>
  <si>
    <t>Stamp Duty</t>
  </si>
  <si>
    <t>Regist cost</t>
  </si>
  <si>
    <t>Cess/Surchart</t>
  </si>
  <si>
    <t>Legal Due Diligence cost</t>
  </si>
  <si>
    <t>Docu Cost</t>
  </si>
  <si>
    <t>Plot Cost</t>
  </si>
  <si>
    <t>Total Final Cost</t>
  </si>
  <si>
    <t>Construction Cost</t>
  </si>
  <si>
    <t>Rate</t>
  </si>
  <si>
    <t>Area</t>
  </si>
  <si>
    <t>Total Cost</t>
  </si>
  <si>
    <t>Land/Plot Cost</t>
  </si>
  <si>
    <t>500 Sqft  (56 Gaj)</t>
  </si>
  <si>
    <t>Rate / Gaj</t>
  </si>
  <si>
    <t>Final Cost</t>
  </si>
  <si>
    <t>Kitchen</t>
  </si>
  <si>
    <t>Bathroom Fittings</t>
  </si>
  <si>
    <t>Wardrobe</t>
  </si>
  <si>
    <t>Paint/Finishing</t>
  </si>
  <si>
    <t>Furniture</t>
  </si>
  <si>
    <t>Other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</si>
</sst>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General\ &quot;Per Sqft&quot;"/>
    <numFmt numFmtId="165" formatCode="General\ &quot;Sqft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43" fontId="4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C2BA-F1B1-4086-9C53-94A53D4442B0}">
  <dimension ref="C2:J24"/>
  <sheetViews>
    <sheetView tabSelected="1" workbookViewId="0">
      <selection activeCell="J11" sqref="J11"/>
    </sheetView>
  </sheetViews>
  <sheetFormatPr defaultRowHeight="15" x14ac:dyDescent="0.25"/>
  <cols>
    <col min="3" max="3" width="22.7109375" bestFit="1" customWidth="1"/>
    <col min="5" max="5" width="15.5703125" bestFit="1" customWidth="1"/>
    <col min="9" max="9" width="13.5703125" bestFit="1" customWidth="1"/>
    <col min="10" max="10" width="14.28515625" bestFit="1" customWidth="1"/>
  </cols>
  <sheetData>
    <row r="2" spans="3:10" ht="17.25" x14ac:dyDescent="0.25">
      <c r="C2" s="2" t="s">
        <v>12</v>
      </c>
      <c r="D2" s="2"/>
      <c r="E2" s="2"/>
      <c r="I2" s="8" t="s">
        <v>15</v>
      </c>
      <c r="J2" s="7">
        <f>E11+E16+E24</f>
        <v>3986886.4</v>
      </c>
    </row>
    <row r="3" spans="3:10" x14ac:dyDescent="0.25">
      <c r="C3" t="s">
        <v>0</v>
      </c>
      <c r="E3" s="5" t="s">
        <v>13</v>
      </c>
    </row>
    <row r="4" spans="3:10" x14ac:dyDescent="0.25">
      <c r="C4" t="s">
        <v>14</v>
      </c>
      <c r="E4" s="3">
        <v>35000</v>
      </c>
    </row>
    <row r="5" spans="3:10" x14ac:dyDescent="0.25">
      <c r="C5" t="s">
        <v>6</v>
      </c>
      <c r="E5" s="3">
        <f>56*E4</f>
        <v>1960000</v>
      </c>
    </row>
    <row r="6" spans="3:10" x14ac:dyDescent="0.25">
      <c r="C6" t="s">
        <v>1</v>
      </c>
      <c r="E6" s="3">
        <f>+E5*5%</f>
        <v>98000</v>
      </c>
    </row>
    <row r="7" spans="3:10" x14ac:dyDescent="0.25">
      <c r="C7" t="s">
        <v>2</v>
      </c>
      <c r="E7" s="3">
        <f>E5*1%</f>
        <v>19600</v>
      </c>
    </row>
    <row r="8" spans="3:10" x14ac:dyDescent="0.25">
      <c r="C8" t="s">
        <v>3</v>
      </c>
      <c r="E8" s="3">
        <f>E5*0.5%</f>
        <v>9800</v>
      </c>
    </row>
    <row r="9" spans="3:10" x14ac:dyDescent="0.25">
      <c r="C9" t="s">
        <v>4</v>
      </c>
      <c r="E9" s="3">
        <f>E5*0.484%</f>
        <v>9486.4</v>
      </c>
    </row>
    <row r="10" spans="3:10" x14ac:dyDescent="0.25">
      <c r="C10" t="s">
        <v>5</v>
      </c>
      <c r="E10" s="3">
        <v>10000</v>
      </c>
    </row>
    <row r="11" spans="3:10" x14ac:dyDescent="0.25">
      <c r="C11" s="1" t="s">
        <v>7</v>
      </c>
      <c r="E11" s="6">
        <f>SUM(E5:E10)</f>
        <v>2106886.4</v>
      </c>
    </row>
    <row r="12" spans="3:10" x14ac:dyDescent="0.25">
      <c r="E12" s="3"/>
    </row>
    <row r="13" spans="3:10" ht="17.25" x14ac:dyDescent="0.25">
      <c r="C13" s="2" t="s">
        <v>8</v>
      </c>
      <c r="D13" s="2"/>
      <c r="E13" s="2"/>
    </row>
    <row r="14" spans="3:10" x14ac:dyDescent="0.25">
      <c r="C14" t="s">
        <v>9</v>
      </c>
      <c r="E14" s="4">
        <v>2500</v>
      </c>
    </row>
    <row r="15" spans="3:10" x14ac:dyDescent="0.25">
      <c r="C15" t="s">
        <v>10</v>
      </c>
      <c r="E15" s="5">
        <v>500</v>
      </c>
    </row>
    <row r="16" spans="3:10" x14ac:dyDescent="0.25">
      <c r="C16" t="s">
        <v>11</v>
      </c>
      <c r="E16" s="3">
        <v>1500000</v>
      </c>
    </row>
    <row r="18" spans="3:5" ht="17.25" x14ac:dyDescent="0.25">
      <c r="C18" s="2" t="s">
        <v>21</v>
      </c>
      <c r="D18" s="2"/>
      <c r="E18" s="2"/>
    </row>
    <row r="19" spans="3:5" x14ac:dyDescent="0.25">
      <c r="C19" t="s">
        <v>16</v>
      </c>
      <c r="E19">
        <v>100000</v>
      </c>
    </row>
    <row r="20" spans="3:5" x14ac:dyDescent="0.25">
      <c r="C20" t="s">
        <v>17</v>
      </c>
      <c r="E20">
        <v>50000</v>
      </c>
    </row>
    <row r="21" spans="3:5" x14ac:dyDescent="0.25">
      <c r="C21" t="s">
        <v>18</v>
      </c>
      <c r="E21">
        <v>50000</v>
      </c>
    </row>
    <row r="22" spans="3:5" x14ac:dyDescent="0.25">
      <c r="C22" t="s">
        <v>19</v>
      </c>
      <c r="E22">
        <v>100000</v>
      </c>
    </row>
    <row r="23" spans="3:5" x14ac:dyDescent="0.25">
      <c r="C23" t="s">
        <v>20</v>
      </c>
      <c r="E23">
        <v>80000</v>
      </c>
    </row>
    <row r="24" spans="3:5" x14ac:dyDescent="0.25">
      <c r="C24" s="1" t="s">
        <v>11</v>
      </c>
      <c r="D24" s="1"/>
      <c r="E24" s="9">
        <f>SUM(E19:E23)</f>
        <v>380000</v>
      </c>
    </row>
  </sheetData>
  <mergeCells count="3">
    <mergeCell ref="C2:E2"/>
    <mergeCell ref="C13:E13"/>
    <mergeCell ref="C18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2026-07-28T05:28:24Z</dcterms:created>
  <dcterms:modified xsi:type="dcterms:W3CDTF">2026-07-28T06:31:58Z</dcterms:modified>
</cp:coreProperties>
</file>